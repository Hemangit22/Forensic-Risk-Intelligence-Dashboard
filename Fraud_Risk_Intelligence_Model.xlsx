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3B922\EXCELCNV\8f8f9b24-dd88-4ad0-9d9b-48cb494f49bf\"/>
    </mc:Choice>
  </mc:AlternateContent>
  <xr:revisionPtr revIDLastSave="0" documentId="8_{AC55EF9C-C18D-4E4D-B2B5-6D606A2D3C9A}" xr6:coauthVersionLast="47" xr6:coauthVersionMax="47" xr10:uidLastSave="{00000000-0000-0000-0000-000000000000}"/>
  <bookViews>
    <workbookView xWindow="-60" yWindow="-60" windowWidth="15480" windowHeight="11640" firstSheet="1" activeTab="1" xr2:uid="{EDC2A7FF-3626-448D-83B0-C10F7C3972AD}"/>
  </bookViews>
  <sheets>
    <sheet name="Model_Drift_Analysis" sheetId="1" r:id="rId1"/>
    <sheet name="Forensic_Data_Source" sheetId="3" r:id="rId2"/>
    <sheet name="Executive_Summary_ROI" sheetId="5" r:id="rId3"/>
  </sheets>
  <definedNames>
    <definedName name="Slicer_Income_Bracket">#N/A</definedName>
  </definedNames>
  <calcPr calcId="191028"/>
  <pivotCaches>
    <pivotCache cacheId="437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1" i="5"/>
  <c r="B31" i="5"/>
  <c r="C24" i="5"/>
  <c r="C23" i="5"/>
  <c r="C22" i="5"/>
  <c r="C25" i="5"/>
  <c r="D31" i="5"/>
  <c r="F31" i="5" s="1"/>
  <c r="D7" i="5" s="1"/>
  <c r="D24" i="5"/>
  <c r="E24" i="5" s="1"/>
  <c r="D23" i="5"/>
  <c r="E23" i="5" s="1"/>
  <c r="D22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E22" i="5" l="1"/>
  <c r="E25" i="5" s="1"/>
  <c r="D25" i="5"/>
</calcChain>
</file>

<file path=xl/sharedStrings.xml><?xml version="1.0" encoding="utf-8"?>
<sst xmlns="http://schemas.openxmlformats.org/spreadsheetml/2006/main" count="44" uniqueCount="38">
  <si>
    <t>income</t>
  </si>
  <si>
    <t>fraud_bool</t>
  </si>
  <si>
    <t>credit_risk_score</t>
  </si>
  <si>
    <t>Income Bracket</t>
  </si>
  <si>
    <t>Income_Bracket</t>
  </si>
  <si>
    <t>Fraud_Rate_By_Group</t>
  </si>
  <si>
    <t>Mid Income</t>
  </si>
  <si>
    <t>Low Income</t>
  </si>
  <si>
    <t>High Income</t>
  </si>
  <si>
    <t xml:space="preserve"> MITIGATION MODEL DRIFT &amp; RISK INTELLIGENCE</t>
  </si>
  <si>
    <t>Executive Summary</t>
  </si>
  <si>
    <t>Total Capital Protected</t>
  </si>
  <si>
    <t>Incremental Fraud Detected</t>
  </si>
  <si>
    <t>Operational Efficiency Gain</t>
  </si>
  <si>
    <t>Audit Scale (Coverage)</t>
  </si>
  <si>
    <t>996 Cases</t>
  </si>
  <si>
    <t>100% (Census Check)</t>
  </si>
  <si>
    <t>The Data Analysis Table</t>
  </si>
  <si>
    <t>Count of fraud_bool</t>
  </si>
  <si>
    <t>Sum of fraud_bool</t>
  </si>
  <si>
    <t>Grand Total</t>
  </si>
  <si>
    <t>The Financial Model Table</t>
  </si>
  <si>
    <t>Fraud Count</t>
  </si>
  <si>
    <t>Total Exposure (@ $1,500/case)</t>
  </si>
  <si>
    <t>Net Savings (Exposure * 80% LGD)</t>
  </si>
  <si>
    <t>High</t>
  </si>
  <si>
    <t>Mid</t>
  </si>
  <si>
    <t>Low</t>
  </si>
  <si>
    <t>Efficiency &amp; Scale Table</t>
  </si>
  <si>
    <t>Cases Automated</t>
  </si>
  <si>
    <t>Manual Review Time</t>
  </si>
  <si>
    <t>Total Hours Saved</t>
  </si>
  <si>
    <t>Analyst Hourly Rate</t>
  </si>
  <si>
    <t>Operational Savings</t>
  </si>
  <si>
    <t>NOTES:</t>
  </si>
  <si>
    <t>1. Average Transaction Value ($1,500) based on 2024 Fraud Benchmark report.</t>
  </si>
  <si>
    <t>2. LGD (Loss Given Default) of 80% reflects historical recovery rates for unauthorized ACH transfers.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</si>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</sst>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1"/>
      <color theme="0"/>
      <name val="Google Sans Text"/>
      <family val="2"/>
      <charset val="1"/>
    </font>
    <font>
      <b/>
      <sz val="11"/>
      <color theme="3" tint="-0.499984740745262"/>
      <name val="Calibri"/>
      <family val="2"/>
      <scheme val="minor"/>
    </font>
    <font>
      <b/>
      <sz val="11"/>
      <color rgb="FF242424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16" fillId="0" borderId="0" xfId="0" applyFont="1"/>
    <xf numFmtId="3" fontId="0" fillId="0" borderId="0" xfId="0" applyNumberFormat="1"/>
    <xf numFmtId="0" fontId="18" fillId="0" borderId="0" xfId="0" applyFont="1"/>
    <xf numFmtId="0" fontId="19" fillId="0" borderId="0" xfId="0" applyFont="1"/>
    <xf numFmtId="6" fontId="0" fillId="0" borderId="0" xfId="0" applyNumberFormat="1"/>
    <xf numFmtId="0" fontId="13" fillId="33" borderId="0" xfId="0" applyFont="1" applyFill="1"/>
    <xf numFmtId="0" fontId="17" fillId="33" borderId="0" xfId="0" applyFont="1" applyFill="1"/>
    <xf numFmtId="0" fontId="20" fillId="33" borderId="10" xfId="0" applyFont="1" applyFill="1" applyBorder="1" applyAlignment="1">
      <alignment readingOrder="1"/>
    </xf>
    <xf numFmtId="0" fontId="0" fillId="34" borderId="0" xfId="0" applyFont="1" applyFill="1"/>
    <xf numFmtId="0" fontId="0" fillId="34" borderId="0" xfId="0" applyNumberFormat="1" applyFont="1" applyFill="1"/>
    <xf numFmtId="10" fontId="0" fillId="34" borderId="0" xfId="0" applyNumberFormat="1" applyFont="1" applyFill="1"/>
    <xf numFmtId="0" fontId="16" fillId="34" borderId="11" xfId="0" applyFont="1" applyFill="1" applyBorder="1"/>
    <xf numFmtId="0" fontId="22" fillId="0" borderId="0" xfId="0" applyFont="1"/>
    <xf numFmtId="0" fontId="21" fillId="0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1" fillId="35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2" formatCode="0.00"/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10</xdr:row>
      <xdr:rowOff>152400</xdr:rowOff>
    </xdr:from>
    <xdr:to>
      <xdr:col>4</xdr:col>
      <xdr:colOff>1876425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ncome Bracket">
              <a:extLst>
                <a:ext uri="{FF2B5EF4-FFF2-40B4-BE49-F238E27FC236}">
                  <a16:creationId xmlns:a16="http://schemas.microsoft.com/office/drawing/2014/main" id="{CE52A506-9AB6-6747-3B85-E82174FCA1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ome Brack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2085975"/>
              <a:ext cx="1781175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7.592154745369" createdVersion="8" refreshedVersion="8" minRefreshableVersion="3" recordCount="996" xr:uid="{1C0DEB56-6143-4A56-8EB0-95768A2993AA}">
  <cacheSource type="worksheet">
    <worksheetSource name="GapData"/>
  </cacheSource>
  <cacheFields count="4">
    <cacheField name="income" numFmtId="2">
      <sharedItems containsSemiMixedTypes="0" containsString="0" containsNumber="1" minValue="0.1" maxValue="0.9" count="9">
        <n v="0.8"/>
        <n v="0.9"/>
        <n v="0.3"/>
        <n v="0.7"/>
        <n v="0.6"/>
        <n v="0.1"/>
        <n v="0.5"/>
        <n v="0.4"/>
        <n v="0.2"/>
      </sharedItems>
    </cacheField>
    <cacheField name="fraud_bool" numFmtId="0">
      <sharedItems containsSemiMixedTypes="0" containsString="0" containsNumber="1" containsInteger="1" minValue="1" maxValue="1"/>
    </cacheField>
    <cacheField name="credit_risk_score" numFmtId="0">
      <sharedItems containsSemiMixedTypes="0" containsString="0" containsNumber="1" containsInteger="1" minValue="-87" maxValue="299"/>
    </cacheField>
    <cacheField name="Income Bracket" numFmtId="0">
      <sharedItems count="3">
        <s v="High Income"/>
        <s v="Mid Income"/>
        <s v="Low Income"/>
      </sharedItems>
    </cacheField>
  </cacheFields>
  <extLst>
    <ext xmlns:x14="http://schemas.microsoft.com/office/spreadsheetml/2009/9/main" uri="{725AE2AE-9491-48be-B2B4-4EB974FC3084}">
      <x14:pivotCacheDefinition pivotCacheId="2945762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">
  <r>
    <x v="0"/>
    <n v="1"/>
    <n v="172"/>
    <x v="0"/>
  </r>
  <r>
    <x v="1"/>
    <n v="1"/>
    <n v="281"/>
    <x v="0"/>
  </r>
  <r>
    <x v="1"/>
    <n v="1"/>
    <n v="80"/>
    <x v="0"/>
  </r>
  <r>
    <x v="1"/>
    <n v="1"/>
    <n v="244"/>
    <x v="0"/>
  </r>
  <r>
    <x v="2"/>
    <n v="1"/>
    <n v="36"/>
    <x v="1"/>
  </r>
  <r>
    <x v="1"/>
    <n v="1"/>
    <n v="150"/>
    <x v="0"/>
  </r>
  <r>
    <x v="1"/>
    <n v="1"/>
    <n v="285"/>
    <x v="0"/>
  </r>
  <r>
    <x v="3"/>
    <n v="1"/>
    <n v="128"/>
    <x v="0"/>
  </r>
  <r>
    <x v="1"/>
    <n v="1"/>
    <n v="106"/>
    <x v="0"/>
  </r>
  <r>
    <x v="3"/>
    <n v="1"/>
    <n v="62"/>
    <x v="0"/>
  </r>
  <r>
    <x v="1"/>
    <n v="1"/>
    <n v="101"/>
    <x v="0"/>
  </r>
  <r>
    <x v="1"/>
    <n v="1"/>
    <n v="101"/>
    <x v="0"/>
  </r>
  <r>
    <x v="4"/>
    <n v="1"/>
    <n v="234"/>
    <x v="1"/>
  </r>
  <r>
    <x v="5"/>
    <n v="1"/>
    <n v="161"/>
    <x v="2"/>
  </r>
  <r>
    <x v="0"/>
    <n v="1"/>
    <n v="253"/>
    <x v="0"/>
  </r>
  <r>
    <x v="0"/>
    <n v="1"/>
    <n v="219"/>
    <x v="0"/>
  </r>
  <r>
    <x v="5"/>
    <n v="1"/>
    <n v="178"/>
    <x v="2"/>
  </r>
  <r>
    <x v="4"/>
    <n v="1"/>
    <n v="49"/>
    <x v="1"/>
  </r>
  <r>
    <x v="3"/>
    <n v="1"/>
    <n v="39"/>
    <x v="0"/>
  </r>
  <r>
    <x v="1"/>
    <n v="1"/>
    <n v="242"/>
    <x v="0"/>
  </r>
  <r>
    <x v="5"/>
    <n v="1"/>
    <n v="97"/>
    <x v="2"/>
  </r>
  <r>
    <x v="1"/>
    <n v="1"/>
    <n v="130"/>
    <x v="0"/>
  </r>
  <r>
    <x v="1"/>
    <n v="1"/>
    <n v="89"/>
    <x v="0"/>
  </r>
  <r>
    <x v="0"/>
    <n v="1"/>
    <n v="144"/>
    <x v="0"/>
  </r>
  <r>
    <x v="2"/>
    <n v="1"/>
    <n v="22"/>
    <x v="1"/>
  </r>
  <r>
    <x v="0"/>
    <n v="1"/>
    <n v="81"/>
    <x v="0"/>
  </r>
  <r>
    <x v="6"/>
    <n v="1"/>
    <n v="156"/>
    <x v="1"/>
  </r>
  <r>
    <x v="3"/>
    <n v="1"/>
    <n v="148"/>
    <x v="0"/>
  </r>
  <r>
    <x v="0"/>
    <n v="1"/>
    <n v="235"/>
    <x v="0"/>
  </r>
  <r>
    <x v="2"/>
    <n v="1"/>
    <n v="47"/>
    <x v="1"/>
  </r>
  <r>
    <x v="4"/>
    <n v="1"/>
    <n v="241"/>
    <x v="1"/>
  </r>
  <r>
    <x v="7"/>
    <n v="1"/>
    <n v="178"/>
    <x v="1"/>
  </r>
  <r>
    <x v="1"/>
    <n v="1"/>
    <n v="189"/>
    <x v="0"/>
  </r>
  <r>
    <x v="1"/>
    <n v="1"/>
    <n v="214"/>
    <x v="0"/>
  </r>
  <r>
    <x v="1"/>
    <n v="1"/>
    <n v="181"/>
    <x v="0"/>
  </r>
  <r>
    <x v="1"/>
    <n v="1"/>
    <n v="123"/>
    <x v="0"/>
  </r>
  <r>
    <x v="1"/>
    <n v="1"/>
    <n v="192"/>
    <x v="0"/>
  </r>
  <r>
    <x v="0"/>
    <n v="1"/>
    <n v="193"/>
    <x v="0"/>
  </r>
  <r>
    <x v="4"/>
    <n v="1"/>
    <n v="201"/>
    <x v="1"/>
  </r>
  <r>
    <x v="4"/>
    <n v="1"/>
    <n v="203"/>
    <x v="1"/>
  </r>
  <r>
    <x v="3"/>
    <n v="1"/>
    <n v="142"/>
    <x v="0"/>
  </r>
  <r>
    <x v="1"/>
    <n v="1"/>
    <n v="157"/>
    <x v="0"/>
  </r>
  <r>
    <x v="8"/>
    <n v="1"/>
    <n v="171"/>
    <x v="2"/>
  </r>
  <r>
    <x v="1"/>
    <n v="1"/>
    <n v="175"/>
    <x v="0"/>
  </r>
  <r>
    <x v="1"/>
    <n v="1"/>
    <n v="129"/>
    <x v="0"/>
  </r>
  <r>
    <x v="1"/>
    <n v="1"/>
    <n v="267"/>
    <x v="0"/>
  </r>
  <r>
    <x v="8"/>
    <n v="1"/>
    <n v="129"/>
    <x v="2"/>
  </r>
  <r>
    <x v="1"/>
    <n v="1"/>
    <n v="56"/>
    <x v="0"/>
  </r>
  <r>
    <x v="4"/>
    <n v="1"/>
    <n v="158"/>
    <x v="1"/>
  </r>
  <r>
    <x v="1"/>
    <n v="1"/>
    <n v="76"/>
    <x v="0"/>
  </r>
  <r>
    <x v="7"/>
    <n v="1"/>
    <n v="83"/>
    <x v="1"/>
  </r>
  <r>
    <x v="7"/>
    <n v="1"/>
    <n v="221"/>
    <x v="1"/>
  </r>
  <r>
    <x v="3"/>
    <n v="1"/>
    <n v="233"/>
    <x v="0"/>
  </r>
  <r>
    <x v="1"/>
    <n v="1"/>
    <n v="75"/>
    <x v="0"/>
  </r>
  <r>
    <x v="1"/>
    <n v="1"/>
    <n v="246"/>
    <x v="0"/>
  </r>
  <r>
    <x v="8"/>
    <n v="1"/>
    <n v="146"/>
    <x v="2"/>
  </r>
  <r>
    <x v="1"/>
    <n v="1"/>
    <n v="218"/>
    <x v="0"/>
  </r>
  <r>
    <x v="6"/>
    <n v="1"/>
    <n v="160"/>
    <x v="1"/>
  </r>
  <r>
    <x v="6"/>
    <n v="1"/>
    <n v="275"/>
    <x v="1"/>
  </r>
  <r>
    <x v="1"/>
    <n v="1"/>
    <n v="286"/>
    <x v="0"/>
  </r>
  <r>
    <x v="1"/>
    <n v="1"/>
    <n v="196"/>
    <x v="0"/>
  </r>
  <r>
    <x v="5"/>
    <n v="1"/>
    <n v="193"/>
    <x v="2"/>
  </r>
  <r>
    <x v="0"/>
    <n v="1"/>
    <n v="181"/>
    <x v="0"/>
  </r>
  <r>
    <x v="0"/>
    <n v="1"/>
    <n v="171"/>
    <x v="0"/>
  </r>
  <r>
    <x v="0"/>
    <n v="1"/>
    <n v="79"/>
    <x v="0"/>
  </r>
  <r>
    <x v="4"/>
    <n v="1"/>
    <n v="118"/>
    <x v="1"/>
  </r>
  <r>
    <x v="1"/>
    <n v="1"/>
    <n v="288"/>
    <x v="0"/>
  </r>
  <r>
    <x v="5"/>
    <n v="1"/>
    <n v="171"/>
    <x v="2"/>
  </r>
  <r>
    <x v="1"/>
    <n v="1"/>
    <n v="283"/>
    <x v="0"/>
  </r>
  <r>
    <x v="4"/>
    <n v="1"/>
    <n v="162"/>
    <x v="1"/>
  </r>
  <r>
    <x v="1"/>
    <n v="1"/>
    <n v="224"/>
    <x v="0"/>
  </r>
  <r>
    <x v="1"/>
    <n v="1"/>
    <n v="211"/>
    <x v="0"/>
  </r>
  <r>
    <x v="0"/>
    <n v="1"/>
    <n v="112"/>
    <x v="0"/>
  </r>
  <r>
    <x v="4"/>
    <n v="1"/>
    <n v="236"/>
    <x v="1"/>
  </r>
  <r>
    <x v="0"/>
    <n v="1"/>
    <n v="96"/>
    <x v="0"/>
  </r>
  <r>
    <x v="1"/>
    <n v="1"/>
    <n v="106"/>
    <x v="0"/>
  </r>
  <r>
    <x v="8"/>
    <n v="1"/>
    <n v="49"/>
    <x v="2"/>
  </r>
  <r>
    <x v="3"/>
    <n v="1"/>
    <n v="242"/>
    <x v="0"/>
  </r>
  <r>
    <x v="1"/>
    <n v="1"/>
    <n v="248"/>
    <x v="0"/>
  </r>
  <r>
    <x v="0"/>
    <n v="1"/>
    <n v="134"/>
    <x v="0"/>
  </r>
  <r>
    <x v="2"/>
    <n v="1"/>
    <n v="122"/>
    <x v="1"/>
  </r>
  <r>
    <x v="5"/>
    <n v="1"/>
    <n v="262"/>
    <x v="2"/>
  </r>
  <r>
    <x v="3"/>
    <n v="1"/>
    <n v="190"/>
    <x v="0"/>
  </r>
  <r>
    <x v="1"/>
    <n v="1"/>
    <n v="291"/>
    <x v="0"/>
  </r>
  <r>
    <x v="1"/>
    <n v="1"/>
    <n v="180"/>
    <x v="0"/>
  </r>
  <r>
    <x v="5"/>
    <n v="1"/>
    <n v="108"/>
    <x v="2"/>
  </r>
  <r>
    <x v="5"/>
    <n v="1"/>
    <n v="70"/>
    <x v="2"/>
  </r>
  <r>
    <x v="1"/>
    <n v="1"/>
    <n v="299"/>
    <x v="0"/>
  </r>
  <r>
    <x v="1"/>
    <n v="1"/>
    <n v="147"/>
    <x v="0"/>
  </r>
  <r>
    <x v="1"/>
    <n v="1"/>
    <n v="212"/>
    <x v="0"/>
  </r>
  <r>
    <x v="7"/>
    <n v="1"/>
    <n v="212"/>
    <x v="1"/>
  </r>
  <r>
    <x v="0"/>
    <n v="1"/>
    <n v="8"/>
    <x v="0"/>
  </r>
  <r>
    <x v="1"/>
    <n v="1"/>
    <n v="218"/>
    <x v="0"/>
  </r>
  <r>
    <x v="4"/>
    <n v="1"/>
    <n v="129"/>
    <x v="1"/>
  </r>
  <r>
    <x v="4"/>
    <n v="1"/>
    <n v="109"/>
    <x v="1"/>
  </r>
  <r>
    <x v="1"/>
    <n v="1"/>
    <n v="95"/>
    <x v="0"/>
  </r>
  <r>
    <x v="8"/>
    <n v="1"/>
    <n v="78"/>
    <x v="2"/>
  </r>
  <r>
    <x v="0"/>
    <n v="1"/>
    <n v="80"/>
    <x v="0"/>
  </r>
  <r>
    <x v="1"/>
    <n v="1"/>
    <n v="246"/>
    <x v="0"/>
  </r>
  <r>
    <x v="1"/>
    <n v="1"/>
    <n v="144"/>
    <x v="0"/>
  </r>
  <r>
    <x v="1"/>
    <n v="1"/>
    <n v="247"/>
    <x v="0"/>
  </r>
  <r>
    <x v="7"/>
    <n v="1"/>
    <n v="47"/>
    <x v="1"/>
  </r>
  <r>
    <x v="1"/>
    <n v="1"/>
    <n v="193"/>
    <x v="0"/>
  </r>
  <r>
    <x v="8"/>
    <n v="1"/>
    <n v="20"/>
    <x v="2"/>
  </r>
  <r>
    <x v="1"/>
    <n v="1"/>
    <n v="44"/>
    <x v="0"/>
  </r>
  <r>
    <x v="2"/>
    <n v="1"/>
    <n v="174"/>
    <x v="1"/>
  </r>
  <r>
    <x v="0"/>
    <n v="1"/>
    <n v="210"/>
    <x v="0"/>
  </r>
  <r>
    <x v="0"/>
    <n v="1"/>
    <n v="47"/>
    <x v="0"/>
  </r>
  <r>
    <x v="7"/>
    <n v="1"/>
    <n v="47"/>
    <x v="1"/>
  </r>
  <r>
    <x v="1"/>
    <n v="1"/>
    <n v="291"/>
    <x v="0"/>
  </r>
  <r>
    <x v="1"/>
    <n v="1"/>
    <n v="169"/>
    <x v="0"/>
  </r>
  <r>
    <x v="4"/>
    <n v="1"/>
    <n v="154"/>
    <x v="1"/>
  </r>
  <r>
    <x v="1"/>
    <n v="1"/>
    <n v="102"/>
    <x v="0"/>
  </r>
  <r>
    <x v="6"/>
    <n v="1"/>
    <n v="87"/>
    <x v="1"/>
  </r>
  <r>
    <x v="4"/>
    <n v="1"/>
    <n v="112"/>
    <x v="1"/>
  </r>
  <r>
    <x v="1"/>
    <n v="1"/>
    <n v="63"/>
    <x v="0"/>
  </r>
  <r>
    <x v="4"/>
    <n v="1"/>
    <n v="156"/>
    <x v="1"/>
  </r>
  <r>
    <x v="1"/>
    <n v="1"/>
    <n v="158"/>
    <x v="0"/>
  </r>
  <r>
    <x v="1"/>
    <n v="1"/>
    <n v="161"/>
    <x v="0"/>
  </r>
  <r>
    <x v="1"/>
    <n v="1"/>
    <n v="253"/>
    <x v="0"/>
  </r>
  <r>
    <x v="0"/>
    <n v="1"/>
    <n v="52"/>
    <x v="0"/>
  </r>
  <r>
    <x v="0"/>
    <n v="1"/>
    <n v="248"/>
    <x v="0"/>
  </r>
  <r>
    <x v="6"/>
    <n v="1"/>
    <n v="63"/>
    <x v="1"/>
  </r>
  <r>
    <x v="4"/>
    <n v="1"/>
    <n v="70"/>
    <x v="1"/>
  </r>
  <r>
    <x v="6"/>
    <n v="1"/>
    <n v="278"/>
    <x v="1"/>
  </r>
  <r>
    <x v="0"/>
    <n v="1"/>
    <n v="112"/>
    <x v="0"/>
  </r>
  <r>
    <x v="5"/>
    <n v="1"/>
    <n v="107"/>
    <x v="2"/>
  </r>
  <r>
    <x v="3"/>
    <n v="1"/>
    <n v="148"/>
    <x v="0"/>
  </r>
  <r>
    <x v="1"/>
    <n v="1"/>
    <n v="273"/>
    <x v="0"/>
  </r>
  <r>
    <x v="3"/>
    <n v="1"/>
    <n v="295"/>
    <x v="0"/>
  </r>
  <r>
    <x v="1"/>
    <n v="1"/>
    <n v="82"/>
    <x v="0"/>
  </r>
  <r>
    <x v="3"/>
    <n v="1"/>
    <n v="55"/>
    <x v="0"/>
  </r>
  <r>
    <x v="8"/>
    <n v="1"/>
    <n v="120"/>
    <x v="2"/>
  </r>
  <r>
    <x v="1"/>
    <n v="1"/>
    <n v="288"/>
    <x v="0"/>
  </r>
  <r>
    <x v="0"/>
    <n v="1"/>
    <n v="199"/>
    <x v="0"/>
  </r>
  <r>
    <x v="6"/>
    <n v="1"/>
    <n v="33"/>
    <x v="1"/>
  </r>
  <r>
    <x v="2"/>
    <n v="1"/>
    <n v="272"/>
    <x v="1"/>
  </r>
  <r>
    <x v="2"/>
    <n v="1"/>
    <n v="285"/>
    <x v="1"/>
  </r>
  <r>
    <x v="1"/>
    <n v="1"/>
    <n v="152"/>
    <x v="0"/>
  </r>
  <r>
    <x v="5"/>
    <n v="1"/>
    <n v="107"/>
    <x v="2"/>
  </r>
  <r>
    <x v="1"/>
    <n v="1"/>
    <n v="145"/>
    <x v="0"/>
  </r>
  <r>
    <x v="5"/>
    <n v="1"/>
    <n v="153"/>
    <x v="2"/>
  </r>
  <r>
    <x v="5"/>
    <n v="1"/>
    <n v="229"/>
    <x v="2"/>
  </r>
  <r>
    <x v="3"/>
    <n v="1"/>
    <n v="135"/>
    <x v="0"/>
  </r>
  <r>
    <x v="1"/>
    <n v="1"/>
    <n v="298"/>
    <x v="0"/>
  </r>
  <r>
    <x v="1"/>
    <n v="1"/>
    <n v="181"/>
    <x v="0"/>
  </r>
  <r>
    <x v="2"/>
    <n v="1"/>
    <n v="199"/>
    <x v="1"/>
  </r>
  <r>
    <x v="5"/>
    <n v="1"/>
    <n v="68"/>
    <x v="2"/>
  </r>
  <r>
    <x v="1"/>
    <n v="1"/>
    <n v="117"/>
    <x v="0"/>
  </r>
  <r>
    <x v="8"/>
    <n v="1"/>
    <n v="183"/>
    <x v="2"/>
  </r>
  <r>
    <x v="1"/>
    <n v="1"/>
    <n v="232"/>
    <x v="0"/>
  </r>
  <r>
    <x v="1"/>
    <n v="1"/>
    <n v="273"/>
    <x v="0"/>
  </r>
  <r>
    <x v="0"/>
    <n v="1"/>
    <n v="215"/>
    <x v="0"/>
  </r>
  <r>
    <x v="1"/>
    <n v="1"/>
    <n v="183"/>
    <x v="0"/>
  </r>
  <r>
    <x v="0"/>
    <n v="1"/>
    <n v="272"/>
    <x v="0"/>
  </r>
  <r>
    <x v="0"/>
    <n v="1"/>
    <n v="200"/>
    <x v="0"/>
  </r>
  <r>
    <x v="3"/>
    <n v="1"/>
    <n v="198"/>
    <x v="0"/>
  </r>
  <r>
    <x v="1"/>
    <n v="1"/>
    <n v="217"/>
    <x v="0"/>
  </r>
  <r>
    <x v="1"/>
    <n v="1"/>
    <n v="275"/>
    <x v="0"/>
  </r>
  <r>
    <x v="1"/>
    <n v="1"/>
    <n v="123"/>
    <x v="0"/>
  </r>
  <r>
    <x v="1"/>
    <n v="1"/>
    <n v="142"/>
    <x v="0"/>
  </r>
  <r>
    <x v="3"/>
    <n v="1"/>
    <n v="65"/>
    <x v="0"/>
  </r>
  <r>
    <x v="1"/>
    <n v="1"/>
    <n v="223"/>
    <x v="0"/>
  </r>
  <r>
    <x v="8"/>
    <n v="1"/>
    <n v="191"/>
    <x v="2"/>
  </r>
  <r>
    <x v="1"/>
    <n v="1"/>
    <n v="229"/>
    <x v="0"/>
  </r>
  <r>
    <x v="3"/>
    <n v="1"/>
    <n v="286"/>
    <x v="0"/>
  </r>
  <r>
    <x v="4"/>
    <n v="1"/>
    <n v="80"/>
    <x v="1"/>
  </r>
  <r>
    <x v="1"/>
    <n v="1"/>
    <n v="88"/>
    <x v="0"/>
  </r>
  <r>
    <x v="6"/>
    <n v="1"/>
    <n v="193"/>
    <x v="1"/>
  </r>
  <r>
    <x v="4"/>
    <n v="1"/>
    <n v="181"/>
    <x v="1"/>
  </r>
  <r>
    <x v="8"/>
    <n v="1"/>
    <n v="154"/>
    <x v="2"/>
  </r>
  <r>
    <x v="1"/>
    <n v="1"/>
    <n v="137"/>
    <x v="0"/>
  </r>
  <r>
    <x v="1"/>
    <n v="1"/>
    <n v="186"/>
    <x v="0"/>
  </r>
  <r>
    <x v="1"/>
    <n v="1"/>
    <n v="191"/>
    <x v="0"/>
  </r>
  <r>
    <x v="1"/>
    <n v="1"/>
    <n v="165"/>
    <x v="0"/>
  </r>
  <r>
    <x v="1"/>
    <n v="1"/>
    <n v="115"/>
    <x v="0"/>
  </r>
  <r>
    <x v="1"/>
    <n v="1"/>
    <n v="169"/>
    <x v="0"/>
  </r>
  <r>
    <x v="7"/>
    <n v="1"/>
    <n v="98"/>
    <x v="1"/>
  </r>
  <r>
    <x v="4"/>
    <n v="1"/>
    <n v="123"/>
    <x v="1"/>
  </r>
  <r>
    <x v="1"/>
    <n v="1"/>
    <n v="88"/>
    <x v="0"/>
  </r>
  <r>
    <x v="1"/>
    <n v="1"/>
    <n v="275"/>
    <x v="0"/>
  </r>
  <r>
    <x v="7"/>
    <n v="1"/>
    <n v="51"/>
    <x v="1"/>
  </r>
  <r>
    <x v="6"/>
    <n v="1"/>
    <n v="153"/>
    <x v="1"/>
  </r>
  <r>
    <x v="1"/>
    <n v="1"/>
    <n v="127"/>
    <x v="0"/>
  </r>
  <r>
    <x v="0"/>
    <n v="1"/>
    <n v="183"/>
    <x v="0"/>
  </r>
  <r>
    <x v="0"/>
    <n v="1"/>
    <n v="88"/>
    <x v="0"/>
  </r>
  <r>
    <x v="1"/>
    <n v="1"/>
    <n v="123"/>
    <x v="0"/>
  </r>
  <r>
    <x v="1"/>
    <n v="1"/>
    <n v="255"/>
    <x v="0"/>
  </r>
  <r>
    <x v="3"/>
    <n v="1"/>
    <n v="139"/>
    <x v="0"/>
  </r>
  <r>
    <x v="1"/>
    <n v="1"/>
    <n v="188"/>
    <x v="0"/>
  </r>
  <r>
    <x v="1"/>
    <n v="1"/>
    <n v="223"/>
    <x v="0"/>
  </r>
  <r>
    <x v="3"/>
    <n v="1"/>
    <n v="282"/>
    <x v="0"/>
  </r>
  <r>
    <x v="1"/>
    <n v="1"/>
    <n v="276"/>
    <x v="0"/>
  </r>
  <r>
    <x v="1"/>
    <n v="1"/>
    <n v="124"/>
    <x v="0"/>
  </r>
  <r>
    <x v="8"/>
    <n v="1"/>
    <n v="219"/>
    <x v="2"/>
  </r>
  <r>
    <x v="1"/>
    <n v="1"/>
    <n v="201"/>
    <x v="0"/>
  </r>
  <r>
    <x v="2"/>
    <n v="1"/>
    <n v="137"/>
    <x v="1"/>
  </r>
  <r>
    <x v="8"/>
    <n v="1"/>
    <n v="-31"/>
    <x v="2"/>
  </r>
  <r>
    <x v="1"/>
    <n v="1"/>
    <n v="203"/>
    <x v="0"/>
  </r>
  <r>
    <x v="1"/>
    <n v="1"/>
    <n v="192"/>
    <x v="0"/>
  </r>
  <r>
    <x v="1"/>
    <n v="1"/>
    <n v="76"/>
    <x v="0"/>
  </r>
  <r>
    <x v="1"/>
    <n v="1"/>
    <n v="236"/>
    <x v="0"/>
  </r>
  <r>
    <x v="4"/>
    <n v="1"/>
    <n v="127"/>
    <x v="1"/>
  </r>
  <r>
    <x v="1"/>
    <n v="1"/>
    <n v="191"/>
    <x v="0"/>
  </r>
  <r>
    <x v="7"/>
    <n v="1"/>
    <n v="140"/>
    <x v="1"/>
  </r>
  <r>
    <x v="1"/>
    <n v="1"/>
    <n v="77"/>
    <x v="0"/>
  </r>
  <r>
    <x v="5"/>
    <n v="1"/>
    <n v="132"/>
    <x v="2"/>
  </r>
  <r>
    <x v="1"/>
    <n v="1"/>
    <n v="259"/>
    <x v="0"/>
  </r>
  <r>
    <x v="7"/>
    <n v="1"/>
    <n v="288"/>
    <x v="1"/>
  </r>
  <r>
    <x v="1"/>
    <n v="1"/>
    <n v="165"/>
    <x v="0"/>
  </r>
  <r>
    <x v="3"/>
    <n v="1"/>
    <n v="60"/>
    <x v="0"/>
  </r>
  <r>
    <x v="3"/>
    <n v="1"/>
    <n v="184"/>
    <x v="0"/>
  </r>
  <r>
    <x v="1"/>
    <n v="1"/>
    <n v="266"/>
    <x v="0"/>
  </r>
  <r>
    <x v="4"/>
    <n v="1"/>
    <n v="157"/>
    <x v="1"/>
  </r>
  <r>
    <x v="3"/>
    <n v="1"/>
    <n v="194"/>
    <x v="0"/>
  </r>
  <r>
    <x v="1"/>
    <n v="1"/>
    <n v="42"/>
    <x v="0"/>
  </r>
  <r>
    <x v="1"/>
    <n v="1"/>
    <n v="70"/>
    <x v="0"/>
  </r>
  <r>
    <x v="0"/>
    <n v="1"/>
    <n v="175"/>
    <x v="0"/>
  </r>
  <r>
    <x v="4"/>
    <n v="1"/>
    <n v="171"/>
    <x v="1"/>
  </r>
  <r>
    <x v="4"/>
    <n v="1"/>
    <n v="72"/>
    <x v="1"/>
  </r>
  <r>
    <x v="7"/>
    <n v="1"/>
    <n v="38"/>
    <x v="1"/>
  </r>
  <r>
    <x v="7"/>
    <n v="1"/>
    <n v="158"/>
    <x v="1"/>
  </r>
  <r>
    <x v="2"/>
    <n v="1"/>
    <n v="133"/>
    <x v="1"/>
  </r>
  <r>
    <x v="1"/>
    <n v="1"/>
    <n v="143"/>
    <x v="0"/>
  </r>
  <r>
    <x v="4"/>
    <n v="1"/>
    <n v="102"/>
    <x v="1"/>
  </r>
  <r>
    <x v="3"/>
    <n v="1"/>
    <n v="225"/>
    <x v="0"/>
  </r>
  <r>
    <x v="1"/>
    <n v="1"/>
    <n v="110"/>
    <x v="0"/>
  </r>
  <r>
    <x v="5"/>
    <n v="1"/>
    <n v="34"/>
    <x v="2"/>
  </r>
  <r>
    <x v="4"/>
    <n v="1"/>
    <n v="239"/>
    <x v="1"/>
  </r>
  <r>
    <x v="1"/>
    <n v="1"/>
    <n v="3"/>
    <x v="0"/>
  </r>
  <r>
    <x v="5"/>
    <n v="1"/>
    <n v="243"/>
    <x v="2"/>
  </r>
  <r>
    <x v="1"/>
    <n v="1"/>
    <n v="202"/>
    <x v="0"/>
  </r>
  <r>
    <x v="4"/>
    <n v="1"/>
    <n v="39"/>
    <x v="1"/>
  </r>
  <r>
    <x v="3"/>
    <n v="1"/>
    <n v="279"/>
    <x v="0"/>
  </r>
  <r>
    <x v="1"/>
    <n v="1"/>
    <n v="232"/>
    <x v="0"/>
  </r>
  <r>
    <x v="1"/>
    <n v="1"/>
    <n v="227"/>
    <x v="0"/>
  </r>
  <r>
    <x v="5"/>
    <n v="1"/>
    <n v="65"/>
    <x v="2"/>
  </r>
  <r>
    <x v="1"/>
    <n v="1"/>
    <n v="132"/>
    <x v="0"/>
  </r>
  <r>
    <x v="1"/>
    <n v="1"/>
    <n v="262"/>
    <x v="0"/>
  </r>
  <r>
    <x v="1"/>
    <n v="1"/>
    <n v="161"/>
    <x v="0"/>
  </r>
  <r>
    <x v="3"/>
    <n v="1"/>
    <n v="145"/>
    <x v="0"/>
  </r>
  <r>
    <x v="5"/>
    <n v="1"/>
    <n v="28"/>
    <x v="2"/>
  </r>
  <r>
    <x v="1"/>
    <n v="1"/>
    <n v="275"/>
    <x v="0"/>
  </r>
  <r>
    <x v="7"/>
    <n v="1"/>
    <n v="81"/>
    <x v="1"/>
  </r>
  <r>
    <x v="7"/>
    <n v="1"/>
    <n v="273"/>
    <x v="1"/>
  </r>
  <r>
    <x v="0"/>
    <n v="1"/>
    <n v="113"/>
    <x v="0"/>
  </r>
  <r>
    <x v="1"/>
    <n v="1"/>
    <n v="271"/>
    <x v="0"/>
  </r>
  <r>
    <x v="5"/>
    <n v="1"/>
    <n v="95"/>
    <x v="2"/>
  </r>
  <r>
    <x v="4"/>
    <n v="1"/>
    <n v="92"/>
    <x v="1"/>
  </r>
  <r>
    <x v="0"/>
    <n v="1"/>
    <n v="292"/>
    <x v="0"/>
  </r>
  <r>
    <x v="8"/>
    <n v="1"/>
    <n v="167"/>
    <x v="2"/>
  </r>
  <r>
    <x v="1"/>
    <n v="1"/>
    <n v="194"/>
    <x v="0"/>
  </r>
  <r>
    <x v="5"/>
    <n v="1"/>
    <n v="249"/>
    <x v="2"/>
  </r>
  <r>
    <x v="7"/>
    <n v="1"/>
    <n v="161"/>
    <x v="1"/>
  </r>
  <r>
    <x v="6"/>
    <n v="1"/>
    <n v="291"/>
    <x v="1"/>
  </r>
  <r>
    <x v="1"/>
    <n v="1"/>
    <n v="61"/>
    <x v="0"/>
  </r>
  <r>
    <x v="1"/>
    <n v="1"/>
    <n v="182"/>
    <x v="0"/>
  </r>
  <r>
    <x v="1"/>
    <n v="1"/>
    <n v="264"/>
    <x v="0"/>
  </r>
  <r>
    <x v="3"/>
    <n v="1"/>
    <n v="100"/>
    <x v="0"/>
  </r>
  <r>
    <x v="7"/>
    <n v="1"/>
    <n v="245"/>
    <x v="1"/>
  </r>
  <r>
    <x v="0"/>
    <n v="1"/>
    <n v="136"/>
    <x v="0"/>
  </r>
  <r>
    <x v="5"/>
    <n v="1"/>
    <n v="102"/>
    <x v="2"/>
  </r>
  <r>
    <x v="1"/>
    <n v="1"/>
    <n v="253"/>
    <x v="0"/>
  </r>
  <r>
    <x v="5"/>
    <n v="1"/>
    <n v="186"/>
    <x v="2"/>
  </r>
  <r>
    <x v="1"/>
    <n v="1"/>
    <n v="160"/>
    <x v="0"/>
  </r>
  <r>
    <x v="0"/>
    <n v="1"/>
    <n v="273"/>
    <x v="0"/>
  </r>
  <r>
    <x v="4"/>
    <n v="1"/>
    <n v="283"/>
    <x v="1"/>
  </r>
  <r>
    <x v="0"/>
    <n v="1"/>
    <n v="179"/>
    <x v="0"/>
  </r>
  <r>
    <x v="0"/>
    <n v="1"/>
    <n v="186"/>
    <x v="0"/>
  </r>
  <r>
    <x v="1"/>
    <n v="1"/>
    <n v="230"/>
    <x v="0"/>
  </r>
  <r>
    <x v="1"/>
    <n v="1"/>
    <n v="70"/>
    <x v="0"/>
  </r>
  <r>
    <x v="1"/>
    <n v="1"/>
    <n v="235"/>
    <x v="0"/>
  </r>
  <r>
    <x v="1"/>
    <n v="1"/>
    <n v="252"/>
    <x v="0"/>
  </r>
  <r>
    <x v="7"/>
    <n v="1"/>
    <n v="127"/>
    <x v="1"/>
  </r>
  <r>
    <x v="1"/>
    <n v="1"/>
    <n v="163"/>
    <x v="0"/>
  </r>
  <r>
    <x v="4"/>
    <n v="1"/>
    <n v="91"/>
    <x v="1"/>
  </r>
  <r>
    <x v="7"/>
    <n v="1"/>
    <n v="124"/>
    <x v="1"/>
  </r>
  <r>
    <x v="7"/>
    <n v="1"/>
    <n v="77"/>
    <x v="1"/>
  </r>
  <r>
    <x v="1"/>
    <n v="1"/>
    <n v="129"/>
    <x v="0"/>
  </r>
  <r>
    <x v="0"/>
    <n v="1"/>
    <n v="76"/>
    <x v="0"/>
  </r>
  <r>
    <x v="1"/>
    <n v="1"/>
    <n v="281"/>
    <x v="0"/>
  </r>
  <r>
    <x v="1"/>
    <n v="1"/>
    <n v="260"/>
    <x v="0"/>
  </r>
  <r>
    <x v="1"/>
    <n v="1"/>
    <n v="199"/>
    <x v="0"/>
  </r>
  <r>
    <x v="7"/>
    <n v="1"/>
    <n v="196"/>
    <x v="1"/>
  </r>
  <r>
    <x v="0"/>
    <n v="1"/>
    <n v="272"/>
    <x v="0"/>
  </r>
  <r>
    <x v="0"/>
    <n v="1"/>
    <n v="229"/>
    <x v="0"/>
  </r>
  <r>
    <x v="6"/>
    <n v="1"/>
    <n v="82"/>
    <x v="1"/>
  </r>
  <r>
    <x v="3"/>
    <n v="1"/>
    <n v="165"/>
    <x v="0"/>
  </r>
  <r>
    <x v="1"/>
    <n v="1"/>
    <n v="137"/>
    <x v="0"/>
  </r>
  <r>
    <x v="5"/>
    <n v="1"/>
    <n v="184"/>
    <x v="2"/>
  </r>
  <r>
    <x v="0"/>
    <n v="1"/>
    <n v="172"/>
    <x v="0"/>
  </r>
  <r>
    <x v="4"/>
    <n v="1"/>
    <n v="195"/>
    <x v="1"/>
  </r>
  <r>
    <x v="1"/>
    <n v="1"/>
    <n v="234"/>
    <x v="0"/>
  </r>
  <r>
    <x v="3"/>
    <n v="1"/>
    <n v="92"/>
    <x v="0"/>
  </r>
  <r>
    <x v="1"/>
    <n v="1"/>
    <n v="241"/>
    <x v="0"/>
  </r>
  <r>
    <x v="1"/>
    <n v="1"/>
    <n v="181"/>
    <x v="0"/>
  </r>
  <r>
    <x v="4"/>
    <n v="1"/>
    <n v="138"/>
    <x v="1"/>
  </r>
  <r>
    <x v="4"/>
    <n v="1"/>
    <n v="95"/>
    <x v="1"/>
  </r>
  <r>
    <x v="1"/>
    <n v="1"/>
    <n v="257"/>
    <x v="0"/>
  </r>
  <r>
    <x v="4"/>
    <n v="1"/>
    <n v="79"/>
    <x v="1"/>
  </r>
  <r>
    <x v="5"/>
    <n v="1"/>
    <n v="268"/>
    <x v="2"/>
  </r>
  <r>
    <x v="1"/>
    <n v="1"/>
    <n v="211"/>
    <x v="0"/>
  </r>
  <r>
    <x v="7"/>
    <n v="1"/>
    <n v="220"/>
    <x v="1"/>
  </r>
  <r>
    <x v="1"/>
    <n v="1"/>
    <n v="125"/>
    <x v="0"/>
  </r>
  <r>
    <x v="1"/>
    <n v="1"/>
    <n v="246"/>
    <x v="0"/>
  </r>
  <r>
    <x v="8"/>
    <n v="1"/>
    <n v="213"/>
    <x v="2"/>
  </r>
  <r>
    <x v="2"/>
    <n v="1"/>
    <n v="161"/>
    <x v="1"/>
  </r>
  <r>
    <x v="1"/>
    <n v="1"/>
    <n v="239"/>
    <x v="0"/>
  </r>
  <r>
    <x v="8"/>
    <n v="1"/>
    <n v="132"/>
    <x v="2"/>
  </r>
  <r>
    <x v="1"/>
    <n v="1"/>
    <n v="245"/>
    <x v="0"/>
  </r>
  <r>
    <x v="7"/>
    <n v="1"/>
    <n v="180"/>
    <x v="1"/>
  </r>
  <r>
    <x v="3"/>
    <n v="1"/>
    <n v="99"/>
    <x v="0"/>
  </r>
  <r>
    <x v="1"/>
    <n v="1"/>
    <n v="236"/>
    <x v="0"/>
  </r>
  <r>
    <x v="1"/>
    <n v="1"/>
    <n v="118"/>
    <x v="0"/>
  </r>
  <r>
    <x v="1"/>
    <n v="1"/>
    <n v="253"/>
    <x v="0"/>
  </r>
  <r>
    <x v="1"/>
    <n v="1"/>
    <n v="267"/>
    <x v="0"/>
  </r>
  <r>
    <x v="5"/>
    <n v="1"/>
    <n v="188"/>
    <x v="2"/>
  </r>
  <r>
    <x v="6"/>
    <n v="1"/>
    <n v="71"/>
    <x v="1"/>
  </r>
  <r>
    <x v="1"/>
    <n v="1"/>
    <n v="172"/>
    <x v="0"/>
  </r>
  <r>
    <x v="1"/>
    <n v="1"/>
    <n v="183"/>
    <x v="0"/>
  </r>
  <r>
    <x v="1"/>
    <n v="1"/>
    <n v="89"/>
    <x v="0"/>
  </r>
  <r>
    <x v="4"/>
    <n v="1"/>
    <n v="181"/>
    <x v="1"/>
  </r>
  <r>
    <x v="5"/>
    <n v="1"/>
    <n v="103"/>
    <x v="2"/>
  </r>
  <r>
    <x v="4"/>
    <n v="1"/>
    <n v="60"/>
    <x v="1"/>
  </r>
  <r>
    <x v="3"/>
    <n v="1"/>
    <n v="99"/>
    <x v="0"/>
  </r>
  <r>
    <x v="3"/>
    <n v="1"/>
    <n v="97"/>
    <x v="0"/>
  </r>
  <r>
    <x v="3"/>
    <n v="1"/>
    <n v="62"/>
    <x v="0"/>
  </r>
  <r>
    <x v="3"/>
    <n v="1"/>
    <n v="119"/>
    <x v="0"/>
  </r>
  <r>
    <x v="8"/>
    <n v="1"/>
    <n v="79"/>
    <x v="2"/>
  </r>
  <r>
    <x v="4"/>
    <n v="1"/>
    <n v="68"/>
    <x v="1"/>
  </r>
  <r>
    <x v="5"/>
    <n v="1"/>
    <n v="89"/>
    <x v="2"/>
  </r>
  <r>
    <x v="1"/>
    <n v="1"/>
    <n v="142"/>
    <x v="0"/>
  </r>
  <r>
    <x v="8"/>
    <n v="1"/>
    <n v="-87"/>
    <x v="2"/>
  </r>
  <r>
    <x v="0"/>
    <n v="1"/>
    <n v="14"/>
    <x v="0"/>
  </r>
  <r>
    <x v="0"/>
    <n v="1"/>
    <n v="187"/>
    <x v="0"/>
  </r>
  <r>
    <x v="1"/>
    <n v="1"/>
    <n v="100"/>
    <x v="0"/>
  </r>
  <r>
    <x v="5"/>
    <n v="1"/>
    <n v="128"/>
    <x v="2"/>
  </r>
  <r>
    <x v="3"/>
    <n v="1"/>
    <n v="157"/>
    <x v="0"/>
  </r>
  <r>
    <x v="0"/>
    <n v="1"/>
    <n v="188"/>
    <x v="0"/>
  </r>
  <r>
    <x v="5"/>
    <n v="1"/>
    <n v="67"/>
    <x v="2"/>
  </r>
  <r>
    <x v="3"/>
    <n v="1"/>
    <n v="261"/>
    <x v="0"/>
  </r>
  <r>
    <x v="8"/>
    <n v="1"/>
    <n v="210"/>
    <x v="2"/>
  </r>
  <r>
    <x v="1"/>
    <n v="1"/>
    <n v="73"/>
    <x v="0"/>
  </r>
  <r>
    <x v="1"/>
    <n v="1"/>
    <n v="119"/>
    <x v="0"/>
  </r>
  <r>
    <x v="1"/>
    <n v="1"/>
    <n v="271"/>
    <x v="0"/>
  </r>
  <r>
    <x v="2"/>
    <n v="1"/>
    <n v="155"/>
    <x v="1"/>
  </r>
  <r>
    <x v="2"/>
    <n v="1"/>
    <n v="62"/>
    <x v="1"/>
  </r>
  <r>
    <x v="1"/>
    <n v="1"/>
    <n v="186"/>
    <x v="0"/>
  </r>
  <r>
    <x v="4"/>
    <n v="1"/>
    <n v="58"/>
    <x v="1"/>
  </r>
  <r>
    <x v="7"/>
    <n v="1"/>
    <n v="240"/>
    <x v="1"/>
  </r>
  <r>
    <x v="1"/>
    <n v="1"/>
    <n v="153"/>
    <x v="0"/>
  </r>
  <r>
    <x v="2"/>
    <n v="1"/>
    <n v="80"/>
    <x v="1"/>
  </r>
  <r>
    <x v="1"/>
    <n v="1"/>
    <n v="277"/>
    <x v="0"/>
  </r>
  <r>
    <x v="1"/>
    <n v="1"/>
    <n v="175"/>
    <x v="0"/>
  </r>
  <r>
    <x v="3"/>
    <n v="1"/>
    <n v="143"/>
    <x v="0"/>
  </r>
  <r>
    <x v="1"/>
    <n v="1"/>
    <n v="162"/>
    <x v="0"/>
  </r>
  <r>
    <x v="1"/>
    <n v="1"/>
    <n v="146"/>
    <x v="0"/>
  </r>
  <r>
    <x v="4"/>
    <n v="1"/>
    <n v="271"/>
    <x v="1"/>
  </r>
  <r>
    <x v="1"/>
    <n v="1"/>
    <n v="165"/>
    <x v="0"/>
  </r>
  <r>
    <x v="1"/>
    <n v="1"/>
    <n v="130"/>
    <x v="0"/>
  </r>
  <r>
    <x v="1"/>
    <n v="1"/>
    <n v="209"/>
    <x v="0"/>
  </r>
  <r>
    <x v="5"/>
    <n v="1"/>
    <n v="87"/>
    <x v="2"/>
  </r>
  <r>
    <x v="1"/>
    <n v="1"/>
    <n v="117"/>
    <x v="0"/>
  </r>
  <r>
    <x v="1"/>
    <n v="1"/>
    <n v="246"/>
    <x v="0"/>
  </r>
  <r>
    <x v="0"/>
    <n v="1"/>
    <n v="127"/>
    <x v="0"/>
  </r>
  <r>
    <x v="0"/>
    <n v="1"/>
    <n v="106"/>
    <x v="0"/>
  </r>
  <r>
    <x v="1"/>
    <n v="1"/>
    <n v="207"/>
    <x v="0"/>
  </r>
  <r>
    <x v="5"/>
    <n v="1"/>
    <n v="160"/>
    <x v="2"/>
  </r>
  <r>
    <x v="4"/>
    <n v="1"/>
    <n v="180"/>
    <x v="1"/>
  </r>
  <r>
    <x v="5"/>
    <n v="1"/>
    <n v="127"/>
    <x v="2"/>
  </r>
  <r>
    <x v="1"/>
    <n v="1"/>
    <n v="256"/>
    <x v="0"/>
  </r>
  <r>
    <x v="5"/>
    <n v="1"/>
    <n v="225"/>
    <x v="2"/>
  </r>
  <r>
    <x v="1"/>
    <n v="1"/>
    <n v="46"/>
    <x v="0"/>
  </r>
  <r>
    <x v="4"/>
    <n v="1"/>
    <n v="205"/>
    <x v="1"/>
  </r>
  <r>
    <x v="4"/>
    <n v="1"/>
    <n v="165"/>
    <x v="1"/>
  </r>
  <r>
    <x v="1"/>
    <n v="1"/>
    <n v="243"/>
    <x v="0"/>
  </r>
  <r>
    <x v="5"/>
    <n v="1"/>
    <n v="87"/>
    <x v="2"/>
  </r>
  <r>
    <x v="2"/>
    <n v="1"/>
    <n v="123"/>
    <x v="1"/>
  </r>
  <r>
    <x v="0"/>
    <n v="1"/>
    <n v="131"/>
    <x v="0"/>
  </r>
  <r>
    <x v="1"/>
    <n v="1"/>
    <n v="119"/>
    <x v="0"/>
  </r>
  <r>
    <x v="7"/>
    <n v="1"/>
    <n v="54"/>
    <x v="1"/>
  </r>
  <r>
    <x v="6"/>
    <n v="1"/>
    <n v="43"/>
    <x v="1"/>
  </r>
  <r>
    <x v="1"/>
    <n v="1"/>
    <n v="110"/>
    <x v="0"/>
  </r>
  <r>
    <x v="1"/>
    <n v="1"/>
    <n v="238"/>
    <x v="0"/>
  </r>
  <r>
    <x v="1"/>
    <n v="1"/>
    <n v="87"/>
    <x v="0"/>
  </r>
  <r>
    <x v="1"/>
    <n v="1"/>
    <n v="208"/>
    <x v="0"/>
  </r>
  <r>
    <x v="1"/>
    <n v="1"/>
    <n v="214"/>
    <x v="0"/>
  </r>
  <r>
    <x v="1"/>
    <n v="1"/>
    <n v="172"/>
    <x v="0"/>
  </r>
  <r>
    <x v="1"/>
    <n v="1"/>
    <n v="232"/>
    <x v="0"/>
  </r>
  <r>
    <x v="1"/>
    <n v="1"/>
    <n v="218"/>
    <x v="0"/>
  </r>
  <r>
    <x v="0"/>
    <n v="1"/>
    <n v="86"/>
    <x v="0"/>
  </r>
  <r>
    <x v="1"/>
    <n v="1"/>
    <n v="47"/>
    <x v="0"/>
  </r>
  <r>
    <x v="0"/>
    <n v="1"/>
    <n v="263"/>
    <x v="0"/>
  </r>
  <r>
    <x v="3"/>
    <n v="1"/>
    <n v="199"/>
    <x v="0"/>
  </r>
  <r>
    <x v="1"/>
    <n v="1"/>
    <n v="128"/>
    <x v="0"/>
  </r>
  <r>
    <x v="0"/>
    <n v="1"/>
    <n v="121"/>
    <x v="0"/>
  </r>
  <r>
    <x v="8"/>
    <n v="1"/>
    <n v="130"/>
    <x v="2"/>
  </r>
  <r>
    <x v="4"/>
    <n v="1"/>
    <n v="229"/>
    <x v="1"/>
  </r>
  <r>
    <x v="1"/>
    <n v="1"/>
    <n v="132"/>
    <x v="0"/>
  </r>
  <r>
    <x v="0"/>
    <n v="1"/>
    <n v="156"/>
    <x v="0"/>
  </r>
  <r>
    <x v="1"/>
    <n v="1"/>
    <n v="117"/>
    <x v="0"/>
  </r>
  <r>
    <x v="0"/>
    <n v="1"/>
    <n v="140"/>
    <x v="0"/>
  </r>
  <r>
    <x v="5"/>
    <n v="1"/>
    <n v="92"/>
    <x v="2"/>
  </r>
  <r>
    <x v="1"/>
    <n v="1"/>
    <n v="117"/>
    <x v="0"/>
  </r>
  <r>
    <x v="1"/>
    <n v="1"/>
    <n v="242"/>
    <x v="0"/>
  </r>
  <r>
    <x v="2"/>
    <n v="1"/>
    <n v="104"/>
    <x v="1"/>
  </r>
  <r>
    <x v="2"/>
    <n v="1"/>
    <n v="48"/>
    <x v="1"/>
  </r>
  <r>
    <x v="1"/>
    <n v="1"/>
    <n v="214"/>
    <x v="0"/>
  </r>
  <r>
    <x v="3"/>
    <n v="1"/>
    <n v="83"/>
    <x v="0"/>
  </r>
  <r>
    <x v="3"/>
    <n v="1"/>
    <n v="117"/>
    <x v="0"/>
  </r>
  <r>
    <x v="0"/>
    <n v="1"/>
    <n v="214"/>
    <x v="0"/>
  </r>
  <r>
    <x v="8"/>
    <n v="1"/>
    <n v="58"/>
    <x v="2"/>
  </r>
  <r>
    <x v="1"/>
    <n v="1"/>
    <n v="179"/>
    <x v="0"/>
  </r>
  <r>
    <x v="1"/>
    <n v="1"/>
    <n v="58"/>
    <x v="0"/>
  </r>
  <r>
    <x v="1"/>
    <n v="1"/>
    <n v="14"/>
    <x v="0"/>
  </r>
  <r>
    <x v="5"/>
    <n v="1"/>
    <n v="39"/>
    <x v="2"/>
  </r>
  <r>
    <x v="0"/>
    <n v="1"/>
    <n v="101"/>
    <x v="0"/>
  </r>
  <r>
    <x v="1"/>
    <n v="1"/>
    <n v="52"/>
    <x v="0"/>
  </r>
  <r>
    <x v="1"/>
    <n v="1"/>
    <n v="299"/>
    <x v="0"/>
  </r>
  <r>
    <x v="5"/>
    <n v="1"/>
    <n v="91"/>
    <x v="2"/>
  </r>
  <r>
    <x v="8"/>
    <n v="1"/>
    <n v="132"/>
    <x v="2"/>
  </r>
  <r>
    <x v="0"/>
    <n v="1"/>
    <n v="39"/>
    <x v="0"/>
  </r>
  <r>
    <x v="7"/>
    <n v="1"/>
    <n v="214"/>
    <x v="1"/>
  </r>
  <r>
    <x v="1"/>
    <n v="1"/>
    <n v="13"/>
    <x v="0"/>
  </r>
  <r>
    <x v="3"/>
    <n v="1"/>
    <n v="36"/>
    <x v="0"/>
  </r>
  <r>
    <x v="3"/>
    <n v="1"/>
    <n v="164"/>
    <x v="0"/>
  </r>
  <r>
    <x v="1"/>
    <n v="1"/>
    <n v="242"/>
    <x v="0"/>
  </r>
  <r>
    <x v="1"/>
    <n v="1"/>
    <n v="74"/>
    <x v="0"/>
  </r>
  <r>
    <x v="1"/>
    <n v="1"/>
    <n v="116"/>
    <x v="0"/>
  </r>
  <r>
    <x v="0"/>
    <n v="1"/>
    <n v="45"/>
    <x v="0"/>
  </r>
  <r>
    <x v="1"/>
    <n v="1"/>
    <n v="119"/>
    <x v="0"/>
  </r>
  <r>
    <x v="1"/>
    <n v="1"/>
    <n v="46"/>
    <x v="0"/>
  </r>
  <r>
    <x v="6"/>
    <n v="1"/>
    <n v="156"/>
    <x v="1"/>
  </r>
  <r>
    <x v="8"/>
    <n v="1"/>
    <n v="156"/>
    <x v="2"/>
  </r>
  <r>
    <x v="0"/>
    <n v="1"/>
    <n v="119"/>
    <x v="0"/>
  </r>
  <r>
    <x v="0"/>
    <n v="1"/>
    <n v="82"/>
    <x v="0"/>
  </r>
  <r>
    <x v="1"/>
    <n v="1"/>
    <n v="226"/>
    <x v="0"/>
  </r>
  <r>
    <x v="0"/>
    <n v="1"/>
    <n v="111"/>
    <x v="0"/>
  </r>
  <r>
    <x v="1"/>
    <n v="1"/>
    <n v="151"/>
    <x v="0"/>
  </r>
  <r>
    <x v="7"/>
    <n v="1"/>
    <n v="81"/>
    <x v="1"/>
  </r>
  <r>
    <x v="0"/>
    <n v="1"/>
    <n v="171"/>
    <x v="0"/>
  </r>
  <r>
    <x v="1"/>
    <n v="1"/>
    <n v="157"/>
    <x v="0"/>
  </r>
  <r>
    <x v="1"/>
    <n v="1"/>
    <n v="129"/>
    <x v="0"/>
  </r>
  <r>
    <x v="1"/>
    <n v="1"/>
    <n v="106"/>
    <x v="0"/>
  </r>
  <r>
    <x v="2"/>
    <n v="1"/>
    <n v="293"/>
    <x v="1"/>
  </r>
  <r>
    <x v="0"/>
    <n v="1"/>
    <n v="66"/>
    <x v="0"/>
  </r>
  <r>
    <x v="4"/>
    <n v="1"/>
    <n v="139"/>
    <x v="1"/>
  </r>
  <r>
    <x v="5"/>
    <n v="1"/>
    <n v="233"/>
    <x v="2"/>
  </r>
  <r>
    <x v="1"/>
    <n v="1"/>
    <n v="207"/>
    <x v="0"/>
  </r>
  <r>
    <x v="4"/>
    <n v="1"/>
    <n v="202"/>
    <x v="1"/>
  </r>
  <r>
    <x v="1"/>
    <n v="1"/>
    <n v="252"/>
    <x v="0"/>
  </r>
  <r>
    <x v="0"/>
    <n v="1"/>
    <n v="139"/>
    <x v="0"/>
  </r>
  <r>
    <x v="3"/>
    <n v="1"/>
    <n v="100"/>
    <x v="0"/>
  </r>
  <r>
    <x v="6"/>
    <n v="1"/>
    <n v="98"/>
    <x v="1"/>
  </r>
  <r>
    <x v="1"/>
    <n v="1"/>
    <n v="200"/>
    <x v="0"/>
  </r>
  <r>
    <x v="1"/>
    <n v="1"/>
    <n v="96"/>
    <x v="0"/>
  </r>
  <r>
    <x v="1"/>
    <n v="1"/>
    <n v="103"/>
    <x v="0"/>
  </r>
  <r>
    <x v="1"/>
    <n v="1"/>
    <n v="130"/>
    <x v="0"/>
  </r>
  <r>
    <x v="1"/>
    <n v="1"/>
    <n v="252"/>
    <x v="0"/>
  </r>
  <r>
    <x v="1"/>
    <n v="1"/>
    <n v="264"/>
    <x v="0"/>
  </r>
  <r>
    <x v="3"/>
    <n v="1"/>
    <n v="271"/>
    <x v="0"/>
  </r>
  <r>
    <x v="8"/>
    <n v="1"/>
    <n v="185"/>
    <x v="2"/>
  </r>
  <r>
    <x v="0"/>
    <n v="1"/>
    <n v="273"/>
    <x v="0"/>
  </r>
  <r>
    <x v="1"/>
    <n v="1"/>
    <n v="233"/>
    <x v="0"/>
  </r>
  <r>
    <x v="1"/>
    <n v="1"/>
    <n v="175"/>
    <x v="0"/>
  </r>
  <r>
    <x v="0"/>
    <n v="1"/>
    <n v="292"/>
    <x v="0"/>
  </r>
  <r>
    <x v="1"/>
    <n v="1"/>
    <n v="85"/>
    <x v="0"/>
  </r>
  <r>
    <x v="1"/>
    <n v="1"/>
    <n v="272"/>
    <x v="0"/>
  </r>
  <r>
    <x v="1"/>
    <n v="1"/>
    <n v="273"/>
    <x v="0"/>
  </r>
  <r>
    <x v="3"/>
    <n v="1"/>
    <n v="106"/>
    <x v="0"/>
  </r>
  <r>
    <x v="7"/>
    <n v="1"/>
    <n v="116"/>
    <x v="1"/>
  </r>
  <r>
    <x v="4"/>
    <n v="1"/>
    <n v="154"/>
    <x v="1"/>
  </r>
  <r>
    <x v="5"/>
    <n v="1"/>
    <n v="217"/>
    <x v="2"/>
  </r>
  <r>
    <x v="1"/>
    <n v="1"/>
    <n v="58"/>
    <x v="0"/>
  </r>
  <r>
    <x v="3"/>
    <n v="1"/>
    <n v="6"/>
    <x v="0"/>
  </r>
  <r>
    <x v="4"/>
    <n v="1"/>
    <n v="109"/>
    <x v="1"/>
  </r>
  <r>
    <x v="3"/>
    <n v="1"/>
    <n v="212"/>
    <x v="0"/>
  </r>
  <r>
    <x v="6"/>
    <n v="1"/>
    <n v="129"/>
    <x v="1"/>
  </r>
  <r>
    <x v="1"/>
    <n v="1"/>
    <n v="186"/>
    <x v="0"/>
  </r>
  <r>
    <x v="1"/>
    <n v="1"/>
    <n v="214"/>
    <x v="0"/>
  </r>
  <r>
    <x v="1"/>
    <n v="1"/>
    <n v="130"/>
    <x v="0"/>
  </r>
  <r>
    <x v="0"/>
    <n v="1"/>
    <n v="229"/>
    <x v="0"/>
  </r>
  <r>
    <x v="1"/>
    <n v="1"/>
    <n v="53"/>
    <x v="0"/>
  </r>
  <r>
    <x v="1"/>
    <n v="1"/>
    <n v="138"/>
    <x v="0"/>
  </r>
  <r>
    <x v="1"/>
    <n v="1"/>
    <n v="109"/>
    <x v="0"/>
  </r>
  <r>
    <x v="4"/>
    <n v="1"/>
    <n v="280"/>
    <x v="1"/>
  </r>
  <r>
    <x v="3"/>
    <n v="1"/>
    <n v="214"/>
    <x v="0"/>
  </r>
  <r>
    <x v="1"/>
    <n v="1"/>
    <n v="191"/>
    <x v="0"/>
  </r>
  <r>
    <x v="0"/>
    <n v="1"/>
    <n v="89"/>
    <x v="0"/>
  </r>
  <r>
    <x v="7"/>
    <n v="1"/>
    <n v="141"/>
    <x v="1"/>
  </r>
  <r>
    <x v="0"/>
    <n v="1"/>
    <n v="189"/>
    <x v="0"/>
  </r>
  <r>
    <x v="0"/>
    <n v="1"/>
    <n v="24"/>
    <x v="0"/>
  </r>
  <r>
    <x v="5"/>
    <n v="1"/>
    <n v="118"/>
    <x v="2"/>
  </r>
  <r>
    <x v="1"/>
    <n v="1"/>
    <n v="162"/>
    <x v="0"/>
  </r>
  <r>
    <x v="1"/>
    <n v="1"/>
    <n v="77"/>
    <x v="0"/>
  </r>
  <r>
    <x v="1"/>
    <n v="1"/>
    <n v="296"/>
    <x v="0"/>
  </r>
  <r>
    <x v="1"/>
    <n v="1"/>
    <n v="133"/>
    <x v="0"/>
  </r>
  <r>
    <x v="4"/>
    <n v="1"/>
    <n v="280"/>
    <x v="1"/>
  </r>
  <r>
    <x v="1"/>
    <n v="1"/>
    <n v="126"/>
    <x v="0"/>
  </r>
  <r>
    <x v="1"/>
    <n v="1"/>
    <n v="239"/>
    <x v="0"/>
  </r>
  <r>
    <x v="6"/>
    <n v="1"/>
    <n v="250"/>
    <x v="1"/>
  </r>
  <r>
    <x v="1"/>
    <n v="1"/>
    <n v="162"/>
    <x v="0"/>
  </r>
  <r>
    <x v="1"/>
    <n v="1"/>
    <n v="88"/>
    <x v="0"/>
  </r>
  <r>
    <x v="0"/>
    <n v="1"/>
    <n v="162"/>
    <x v="0"/>
  </r>
  <r>
    <x v="0"/>
    <n v="1"/>
    <n v="204"/>
    <x v="0"/>
  </r>
  <r>
    <x v="1"/>
    <n v="1"/>
    <n v="273"/>
    <x v="0"/>
  </r>
  <r>
    <x v="1"/>
    <n v="1"/>
    <n v="202"/>
    <x v="0"/>
  </r>
  <r>
    <x v="3"/>
    <n v="1"/>
    <n v="181"/>
    <x v="0"/>
  </r>
  <r>
    <x v="1"/>
    <n v="1"/>
    <n v="233"/>
    <x v="0"/>
  </r>
  <r>
    <x v="1"/>
    <n v="1"/>
    <n v="235"/>
    <x v="0"/>
  </r>
  <r>
    <x v="1"/>
    <n v="1"/>
    <n v="159"/>
    <x v="0"/>
  </r>
  <r>
    <x v="1"/>
    <n v="1"/>
    <n v="275"/>
    <x v="0"/>
  </r>
  <r>
    <x v="3"/>
    <n v="1"/>
    <n v="202"/>
    <x v="0"/>
  </r>
  <r>
    <x v="1"/>
    <n v="1"/>
    <n v="156"/>
    <x v="0"/>
  </r>
  <r>
    <x v="1"/>
    <n v="1"/>
    <n v="238"/>
    <x v="0"/>
  </r>
  <r>
    <x v="0"/>
    <n v="1"/>
    <n v="104"/>
    <x v="0"/>
  </r>
  <r>
    <x v="7"/>
    <n v="1"/>
    <n v="266"/>
    <x v="1"/>
  </r>
  <r>
    <x v="5"/>
    <n v="1"/>
    <n v="222"/>
    <x v="2"/>
  </r>
  <r>
    <x v="4"/>
    <n v="1"/>
    <n v="103"/>
    <x v="1"/>
  </r>
  <r>
    <x v="1"/>
    <n v="1"/>
    <n v="160"/>
    <x v="0"/>
  </r>
  <r>
    <x v="1"/>
    <n v="1"/>
    <n v="202"/>
    <x v="0"/>
  </r>
  <r>
    <x v="4"/>
    <n v="1"/>
    <n v="265"/>
    <x v="1"/>
  </r>
  <r>
    <x v="7"/>
    <n v="1"/>
    <n v="86"/>
    <x v="1"/>
  </r>
  <r>
    <x v="7"/>
    <n v="1"/>
    <n v="69"/>
    <x v="1"/>
  </r>
  <r>
    <x v="4"/>
    <n v="1"/>
    <n v="80"/>
    <x v="1"/>
  </r>
  <r>
    <x v="3"/>
    <n v="1"/>
    <n v="144"/>
    <x v="0"/>
  </r>
  <r>
    <x v="6"/>
    <n v="1"/>
    <n v="236"/>
    <x v="1"/>
  </r>
  <r>
    <x v="3"/>
    <n v="1"/>
    <n v="175"/>
    <x v="0"/>
  </r>
  <r>
    <x v="1"/>
    <n v="1"/>
    <n v="174"/>
    <x v="0"/>
  </r>
  <r>
    <x v="7"/>
    <n v="1"/>
    <n v="124"/>
    <x v="1"/>
  </r>
  <r>
    <x v="5"/>
    <n v="1"/>
    <n v="25"/>
    <x v="2"/>
  </r>
  <r>
    <x v="1"/>
    <n v="1"/>
    <n v="80"/>
    <x v="0"/>
  </r>
  <r>
    <x v="0"/>
    <n v="1"/>
    <n v="95"/>
    <x v="0"/>
  </r>
  <r>
    <x v="1"/>
    <n v="1"/>
    <n v="62"/>
    <x v="0"/>
  </r>
  <r>
    <x v="0"/>
    <n v="1"/>
    <n v="235"/>
    <x v="0"/>
  </r>
  <r>
    <x v="0"/>
    <n v="1"/>
    <n v="265"/>
    <x v="0"/>
  </r>
  <r>
    <x v="4"/>
    <n v="1"/>
    <n v="268"/>
    <x v="1"/>
  </r>
  <r>
    <x v="1"/>
    <n v="1"/>
    <n v="35"/>
    <x v="0"/>
  </r>
  <r>
    <x v="1"/>
    <n v="1"/>
    <n v="213"/>
    <x v="0"/>
  </r>
  <r>
    <x v="1"/>
    <n v="1"/>
    <n v="269"/>
    <x v="0"/>
  </r>
  <r>
    <x v="1"/>
    <n v="1"/>
    <n v="266"/>
    <x v="0"/>
  </r>
  <r>
    <x v="1"/>
    <n v="1"/>
    <n v="171"/>
    <x v="0"/>
  </r>
  <r>
    <x v="5"/>
    <n v="1"/>
    <n v="74"/>
    <x v="2"/>
  </r>
  <r>
    <x v="0"/>
    <n v="1"/>
    <n v="170"/>
    <x v="0"/>
  </r>
  <r>
    <x v="0"/>
    <n v="1"/>
    <n v="246"/>
    <x v="0"/>
  </r>
  <r>
    <x v="0"/>
    <n v="1"/>
    <n v="277"/>
    <x v="0"/>
  </r>
  <r>
    <x v="6"/>
    <n v="1"/>
    <n v="177"/>
    <x v="1"/>
  </r>
  <r>
    <x v="1"/>
    <n v="1"/>
    <n v="98"/>
    <x v="0"/>
  </r>
  <r>
    <x v="3"/>
    <n v="1"/>
    <n v="270"/>
    <x v="0"/>
  </r>
  <r>
    <x v="5"/>
    <n v="1"/>
    <n v="102"/>
    <x v="2"/>
  </r>
  <r>
    <x v="6"/>
    <n v="1"/>
    <n v="103"/>
    <x v="1"/>
  </r>
  <r>
    <x v="1"/>
    <n v="1"/>
    <n v="205"/>
    <x v="0"/>
  </r>
  <r>
    <x v="0"/>
    <n v="1"/>
    <n v="10"/>
    <x v="0"/>
  </r>
  <r>
    <x v="5"/>
    <n v="1"/>
    <n v="100"/>
    <x v="2"/>
  </r>
  <r>
    <x v="1"/>
    <n v="1"/>
    <n v="81"/>
    <x v="0"/>
  </r>
  <r>
    <x v="6"/>
    <n v="1"/>
    <n v="95"/>
    <x v="1"/>
  </r>
  <r>
    <x v="6"/>
    <n v="1"/>
    <n v="100"/>
    <x v="1"/>
  </r>
  <r>
    <x v="0"/>
    <n v="1"/>
    <n v="220"/>
    <x v="0"/>
  </r>
  <r>
    <x v="7"/>
    <n v="1"/>
    <n v="16"/>
    <x v="1"/>
  </r>
  <r>
    <x v="4"/>
    <n v="1"/>
    <n v="79"/>
    <x v="1"/>
  </r>
  <r>
    <x v="1"/>
    <n v="1"/>
    <n v="204"/>
    <x v="0"/>
  </r>
  <r>
    <x v="1"/>
    <n v="1"/>
    <n v="173"/>
    <x v="0"/>
  </r>
  <r>
    <x v="1"/>
    <n v="1"/>
    <n v="163"/>
    <x v="0"/>
  </r>
  <r>
    <x v="1"/>
    <n v="1"/>
    <n v="155"/>
    <x v="0"/>
  </r>
  <r>
    <x v="1"/>
    <n v="1"/>
    <n v="178"/>
    <x v="0"/>
  </r>
  <r>
    <x v="0"/>
    <n v="1"/>
    <n v="268"/>
    <x v="0"/>
  </r>
  <r>
    <x v="1"/>
    <n v="1"/>
    <n v="114"/>
    <x v="0"/>
  </r>
  <r>
    <x v="0"/>
    <n v="1"/>
    <n v="146"/>
    <x v="0"/>
  </r>
  <r>
    <x v="1"/>
    <n v="1"/>
    <n v="286"/>
    <x v="0"/>
  </r>
  <r>
    <x v="1"/>
    <n v="1"/>
    <n v="278"/>
    <x v="0"/>
  </r>
  <r>
    <x v="0"/>
    <n v="1"/>
    <n v="210"/>
    <x v="0"/>
  </r>
  <r>
    <x v="8"/>
    <n v="1"/>
    <n v="176"/>
    <x v="2"/>
  </r>
  <r>
    <x v="0"/>
    <n v="1"/>
    <n v="286"/>
    <x v="0"/>
  </r>
  <r>
    <x v="1"/>
    <n v="1"/>
    <n v="34"/>
    <x v="0"/>
  </r>
  <r>
    <x v="1"/>
    <n v="1"/>
    <n v="261"/>
    <x v="0"/>
  </r>
  <r>
    <x v="0"/>
    <n v="1"/>
    <n v="112"/>
    <x v="0"/>
  </r>
  <r>
    <x v="1"/>
    <n v="1"/>
    <n v="292"/>
    <x v="0"/>
  </r>
  <r>
    <x v="0"/>
    <n v="1"/>
    <n v="22"/>
    <x v="0"/>
  </r>
  <r>
    <x v="1"/>
    <n v="1"/>
    <n v="172"/>
    <x v="0"/>
  </r>
  <r>
    <x v="7"/>
    <n v="1"/>
    <n v="203"/>
    <x v="1"/>
  </r>
  <r>
    <x v="1"/>
    <n v="1"/>
    <n v="257"/>
    <x v="0"/>
  </r>
  <r>
    <x v="1"/>
    <n v="1"/>
    <n v="286"/>
    <x v="0"/>
  </r>
  <r>
    <x v="1"/>
    <n v="1"/>
    <n v="-72"/>
    <x v="0"/>
  </r>
  <r>
    <x v="1"/>
    <n v="1"/>
    <n v="198"/>
    <x v="0"/>
  </r>
  <r>
    <x v="1"/>
    <n v="1"/>
    <n v="181"/>
    <x v="0"/>
  </r>
  <r>
    <x v="8"/>
    <n v="1"/>
    <n v="103"/>
    <x v="2"/>
  </r>
  <r>
    <x v="1"/>
    <n v="1"/>
    <n v="164"/>
    <x v="0"/>
  </r>
  <r>
    <x v="1"/>
    <n v="1"/>
    <n v="204"/>
    <x v="0"/>
  </r>
  <r>
    <x v="3"/>
    <n v="1"/>
    <n v="186"/>
    <x v="0"/>
  </r>
  <r>
    <x v="1"/>
    <n v="1"/>
    <n v="238"/>
    <x v="0"/>
  </r>
  <r>
    <x v="0"/>
    <n v="1"/>
    <n v="182"/>
    <x v="0"/>
  </r>
  <r>
    <x v="0"/>
    <n v="1"/>
    <n v="226"/>
    <x v="0"/>
  </r>
  <r>
    <x v="4"/>
    <n v="1"/>
    <n v="288"/>
    <x v="1"/>
  </r>
  <r>
    <x v="3"/>
    <n v="1"/>
    <n v="285"/>
    <x v="0"/>
  </r>
  <r>
    <x v="0"/>
    <n v="1"/>
    <n v="188"/>
    <x v="0"/>
  </r>
  <r>
    <x v="0"/>
    <n v="1"/>
    <n v="159"/>
    <x v="0"/>
  </r>
  <r>
    <x v="1"/>
    <n v="1"/>
    <n v="245"/>
    <x v="0"/>
  </r>
  <r>
    <x v="1"/>
    <n v="1"/>
    <n v="196"/>
    <x v="0"/>
  </r>
  <r>
    <x v="1"/>
    <n v="1"/>
    <n v="194"/>
    <x v="0"/>
  </r>
  <r>
    <x v="4"/>
    <n v="1"/>
    <n v="68"/>
    <x v="1"/>
  </r>
  <r>
    <x v="2"/>
    <n v="1"/>
    <n v="221"/>
    <x v="1"/>
  </r>
  <r>
    <x v="4"/>
    <n v="1"/>
    <n v="162"/>
    <x v="1"/>
  </r>
  <r>
    <x v="1"/>
    <n v="1"/>
    <n v="84"/>
    <x v="0"/>
  </r>
  <r>
    <x v="7"/>
    <n v="1"/>
    <n v="219"/>
    <x v="1"/>
  </r>
  <r>
    <x v="0"/>
    <n v="1"/>
    <n v="196"/>
    <x v="0"/>
  </r>
  <r>
    <x v="0"/>
    <n v="1"/>
    <n v="181"/>
    <x v="0"/>
  </r>
  <r>
    <x v="1"/>
    <n v="1"/>
    <n v="62"/>
    <x v="0"/>
  </r>
  <r>
    <x v="1"/>
    <n v="1"/>
    <n v="232"/>
    <x v="0"/>
  </r>
  <r>
    <x v="1"/>
    <n v="1"/>
    <n v="227"/>
    <x v="0"/>
  </r>
  <r>
    <x v="1"/>
    <n v="1"/>
    <n v="197"/>
    <x v="0"/>
  </r>
  <r>
    <x v="1"/>
    <n v="1"/>
    <n v="101"/>
    <x v="0"/>
  </r>
  <r>
    <x v="2"/>
    <n v="1"/>
    <n v="58"/>
    <x v="1"/>
  </r>
  <r>
    <x v="5"/>
    <n v="1"/>
    <n v="117"/>
    <x v="2"/>
  </r>
  <r>
    <x v="1"/>
    <n v="1"/>
    <n v="231"/>
    <x v="0"/>
  </r>
  <r>
    <x v="7"/>
    <n v="1"/>
    <n v="292"/>
    <x v="1"/>
  </r>
  <r>
    <x v="1"/>
    <n v="1"/>
    <n v="169"/>
    <x v="0"/>
  </r>
  <r>
    <x v="4"/>
    <n v="1"/>
    <n v="112"/>
    <x v="1"/>
  </r>
  <r>
    <x v="3"/>
    <n v="1"/>
    <n v="276"/>
    <x v="0"/>
  </r>
  <r>
    <x v="0"/>
    <n v="1"/>
    <n v="273"/>
    <x v="0"/>
  </r>
  <r>
    <x v="4"/>
    <n v="1"/>
    <n v="158"/>
    <x v="1"/>
  </r>
  <r>
    <x v="1"/>
    <n v="1"/>
    <n v="257"/>
    <x v="0"/>
  </r>
  <r>
    <x v="1"/>
    <n v="1"/>
    <n v="206"/>
    <x v="0"/>
  </r>
  <r>
    <x v="1"/>
    <n v="1"/>
    <n v="285"/>
    <x v="0"/>
  </r>
  <r>
    <x v="0"/>
    <n v="1"/>
    <n v="230"/>
    <x v="0"/>
  </r>
  <r>
    <x v="4"/>
    <n v="1"/>
    <n v="68"/>
    <x v="1"/>
  </r>
  <r>
    <x v="1"/>
    <n v="1"/>
    <n v="169"/>
    <x v="0"/>
  </r>
  <r>
    <x v="7"/>
    <n v="1"/>
    <n v="73"/>
    <x v="1"/>
  </r>
  <r>
    <x v="4"/>
    <n v="1"/>
    <n v="195"/>
    <x v="1"/>
  </r>
  <r>
    <x v="5"/>
    <n v="1"/>
    <n v="69"/>
    <x v="2"/>
  </r>
  <r>
    <x v="2"/>
    <n v="1"/>
    <n v="81"/>
    <x v="1"/>
  </r>
  <r>
    <x v="5"/>
    <n v="1"/>
    <n v="47"/>
    <x v="2"/>
  </r>
  <r>
    <x v="0"/>
    <n v="1"/>
    <n v="279"/>
    <x v="0"/>
  </r>
  <r>
    <x v="5"/>
    <n v="1"/>
    <n v="194"/>
    <x v="2"/>
  </r>
  <r>
    <x v="1"/>
    <n v="1"/>
    <n v="180"/>
    <x v="0"/>
  </r>
  <r>
    <x v="1"/>
    <n v="1"/>
    <n v="82"/>
    <x v="0"/>
  </r>
  <r>
    <x v="4"/>
    <n v="1"/>
    <n v="167"/>
    <x v="1"/>
  </r>
  <r>
    <x v="0"/>
    <n v="1"/>
    <n v="177"/>
    <x v="0"/>
  </r>
  <r>
    <x v="1"/>
    <n v="1"/>
    <n v="89"/>
    <x v="0"/>
  </r>
  <r>
    <x v="8"/>
    <n v="1"/>
    <n v="66"/>
    <x v="2"/>
  </r>
  <r>
    <x v="6"/>
    <n v="1"/>
    <n v="168"/>
    <x v="1"/>
  </r>
  <r>
    <x v="7"/>
    <n v="1"/>
    <n v="90"/>
    <x v="1"/>
  </r>
  <r>
    <x v="4"/>
    <n v="1"/>
    <n v="281"/>
    <x v="1"/>
  </r>
  <r>
    <x v="0"/>
    <n v="1"/>
    <n v="151"/>
    <x v="0"/>
  </r>
  <r>
    <x v="1"/>
    <n v="1"/>
    <n v="49"/>
    <x v="0"/>
  </r>
  <r>
    <x v="1"/>
    <n v="1"/>
    <n v="105"/>
    <x v="0"/>
  </r>
  <r>
    <x v="1"/>
    <n v="1"/>
    <n v="147"/>
    <x v="0"/>
  </r>
  <r>
    <x v="3"/>
    <n v="1"/>
    <n v="39"/>
    <x v="0"/>
  </r>
  <r>
    <x v="1"/>
    <n v="1"/>
    <n v="178"/>
    <x v="0"/>
  </r>
  <r>
    <x v="4"/>
    <n v="1"/>
    <n v="233"/>
    <x v="1"/>
  </r>
  <r>
    <x v="8"/>
    <n v="1"/>
    <n v="136"/>
    <x v="2"/>
  </r>
  <r>
    <x v="3"/>
    <n v="1"/>
    <n v="63"/>
    <x v="0"/>
  </r>
  <r>
    <x v="1"/>
    <n v="1"/>
    <n v="146"/>
    <x v="0"/>
  </r>
  <r>
    <x v="7"/>
    <n v="1"/>
    <n v="143"/>
    <x v="1"/>
  </r>
  <r>
    <x v="1"/>
    <n v="1"/>
    <n v="113"/>
    <x v="0"/>
  </r>
  <r>
    <x v="0"/>
    <n v="1"/>
    <n v="198"/>
    <x v="0"/>
  </r>
  <r>
    <x v="0"/>
    <n v="1"/>
    <n v="200"/>
    <x v="0"/>
  </r>
  <r>
    <x v="4"/>
    <n v="1"/>
    <n v="279"/>
    <x v="1"/>
  </r>
  <r>
    <x v="5"/>
    <n v="1"/>
    <n v="31"/>
    <x v="2"/>
  </r>
  <r>
    <x v="3"/>
    <n v="1"/>
    <n v="298"/>
    <x v="0"/>
  </r>
  <r>
    <x v="3"/>
    <n v="1"/>
    <n v="241"/>
    <x v="0"/>
  </r>
  <r>
    <x v="0"/>
    <n v="1"/>
    <n v="242"/>
    <x v="0"/>
  </r>
  <r>
    <x v="1"/>
    <n v="1"/>
    <n v="293"/>
    <x v="0"/>
  </r>
  <r>
    <x v="0"/>
    <n v="1"/>
    <n v="241"/>
    <x v="0"/>
  </r>
  <r>
    <x v="5"/>
    <n v="1"/>
    <n v="192"/>
    <x v="2"/>
  </r>
  <r>
    <x v="1"/>
    <n v="1"/>
    <n v="200"/>
    <x v="0"/>
  </r>
  <r>
    <x v="8"/>
    <n v="1"/>
    <n v="104"/>
    <x v="2"/>
  </r>
  <r>
    <x v="1"/>
    <n v="1"/>
    <n v="177"/>
    <x v="0"/>
  </r>
  <r>
    <x v="1"/>
    <n v="1"/>
    <n v="191"/>
    <x v="0"/>
  </r>
  <r>
    <x v="4"/>
    <n v="1"/>
    <n v="168"/>
    <x v="1"/>
  </r>
  <r>
    <x v="1"/>
    <n v="1"/>
    <n v="292"/>
    <x v="0"/>
  </r>
  <r>
    <x v="1"/>
    <n v="1"/>
    <n v="243"/>
    <x v="0"/>
  </r>
  <r>
    <x v="0"/>
    <n v="1"/>
    <n v="105"/>
    <x v="0"/>
  </r>
  <r>
    <x v="1"/>
    <n v="1"/>
    <n v="277"/>
    <x v="0"/>
  </r>
  <r>
    <x v="1"/>
    <n v="1"/>
    <n v="281"/>
    <x v="0"/>
  </r>
  <r>
    <x v="1"/>
    <n v="1"/>
    <n v="154"/>
    <x v="0"/>
  </r>
  <r>
    <x v="1"/>
    <n v="1"/>
    <n v="141"/>
    <x v="0"/>
  </r>
  <r>
    <x v="2"/>
    <n v="1"/>
    <n v="244"/>
    <x v="1"/>
  </r>
  <r>
    <x v="1"/>
    <n v="1"/>
    <n v="220"/>
    <x v="0"/>
  </r>
  <r>
    <x v="8"/>
    <n v="1"/>
    <n v="183"/>
    <x v="2"/>
  </r>
  <r>
    <x v="7"/>
    <n v="1"/>
    <n v="206"/>
    <x v="1"/>
  </r>
  <r>
    <x v="1"/>
    <n v="1"/>
    <n v="142"/>
    <x v="0"/>
  </r>
  <r>
    <x v="6"/>
    <n v="1"/>
    <n v="235"/>
    <x v="1"/>
  </r>
  <r>
    <x v="1"/>
    <n v="1"/>
    <n v="216"/>
    <x v="0"/>
  </r>
  <r>
    <x v="1"/>
    <n v="1"/>
    <n v="156"/>
    <x v="0"/>
  </r>
  <r>
    <x v="1"/>
    <n v="1"/>
    <n v="122"/>
    <x v="0"/>
  </r>
  <r>
    <x v="1"/>
    <n v="1"/>
    <n v="168"/>
    <x v="0"/>
  </r>
  <r>
    <x v="3"/>
    <n v="1"/>
    <n v="207"/>
    <x v="0"/>
  </r>
  <r>
    <x v="1"/>
    <n v="1"/>
    <n v="167"/>
    <x v="0"/>
  </r>
  <r>
    <x v="3"/>
    <n v="1"/>
    <n v="262"/>
    <x v="0"/>
  </r>
  <r>
    <x v="3"/>
    <n v="1"/>
    <n v="129"/>
    <x v="0"/>
  </r>
  <r>
    <x v="1"/>
    <n v="1"/>
    <n v="143"/>
    <x v="0"/>
  </r>
  <r>
    <x v="1"/>
    <n v="1"/>
    <n v="249"/>
    <x v="0"/>
  </r>
  <r>
    <x v="1"/>
    <n v="1"/>
    <n v="124"/>
    <x v="0"/>
  </r>
  <r>
    <x v="1"/>
    <n v="1"/>
    <n v="222"/>
    <x v="0"/>
  </r>
  <r>
    <x v="6"/>
    <n v="1"/>
    <n v="286"/>
    <x v="1"/>
  </r>
  <r>
    <x v="5"/>
    <n v="1"/>
    <n v="239"/>
    <x v="2"/>
  </r>
  <r>
    <x v="3"/>
    <n v="1"/>
    <n v="102"/>
    <x v="0"/>
  </r>
  <r>
    <x v="8"/>
    <n v="1"/>
    <n v="57"/>
    <x v="2"/>
  </r>
  <r>
    <x v="2"/>
    <n v="1"/>
    <n v="161"/>
    <x v="1"/>
  </r>
  <r>
    <x v="4"/>
    <n v="1"/>
    <n v="218"/>
    <x v="1"/>
  </r>
  <r>
    <x v="0"/>
    <n v="1"/>
    <n v="93"/>
    <x v="0"/>
  </r>
  <r>
    <x v="1"/>
    <n v="1"/>
    <n v="162"/>
    <x v="0"/>
  </r>
  <r>
    <x v="6"/>
    <n v="1"/>
    <n v="143"/>
    <x v="1"/>
  </r>
  <r>
    <x v="1"/>
    <n v="1"/>
    <n v="168"/>
    <x v="0"/>
  </r>
  <r>
    <x v="3"/>
    <n v="1"/>
    <n v="240"/>
    <x v="0"/>
  </r>
  <r>
    <x v="0"/>
    <n v="1"/>
    <n v="77"/>
    <x v="0"/>
  </r>
  <r>
    <x v="4"/>
    <n v="1"/>
    <n v="121"/>
    <x v="1"/>
  </r>
  <r>
    <x v="2"/>
    <n v="1"/>
    <n v="120"/>
    <x v="1"/>
  </r>
  <r>
    <x v="0"/>
    <n v="1"/>
    <n v="288"/>
    <x v="0"/>
  </r>
  <r>
    <x v="0"/>
    <n v="1"/>
    <n v="237"/>
    <x v="0"/>
  </r>
  <r>
    <x v="8"/>
    <n v="1"/>
    <n v="193"/>
    <x v="2"/>
  </r>
  <r>
    <x v="5"/>
    <n v="1"/>
    <n v="108"/>
    <x v="2"/>
  </r>
  <r>
    <x v="5"/>
    <n v="1"/>
    <n v="175"/>
    <x v="2"/>
  </r>
  <r>
    <x v="3"/>
    <n v="1"/>
    <n v="188"/>
    <x v="0"/>
  </r>
  <r>
    <x v="4"/>
    <n v="1"/>
    <n v="72"/>
    <x v="1"/>
  </r>
  <r>
    <x v="1"/>
    <n v="1"/>
    <n v="250"/>
    <x v="0"/>
  </r>
  <r>
    <x v="2"/>
    <n v="1"/>
    <n v="215"/>
    <x v="1"/>
  </r>
  <r>
    <x v="1"/>
    <n v="1"/>
    <n v="104"/>
    <x v="0"/>
  </r>
  <r>
    <x v="1"/>
    <n v="1"/>
    <n v="254"/>
    <x v="0"/>
  </r>
  <r>
    <x v="1"/>
    <n v="1"/>
    <n v="99"/>
    <x v="0"/>
  </r>
  <r>
    <x v="1"/>
    <n v="1"/>
    <n v="208"/>
    <x v="0"/>
  </r>
  <r>
    <x v="1"/>
    <n v="1"/>
    <n v="102"/>
    <x v="0"/>
  </r>
  <r>
    <x v="5"/>
    <n v="1"/>
    <n v="100"/>
    <x v="2"/>
  </r>
  <r>
    <x v="3"/>
    <n v="1"/>
    <n v="32"/>
    <x v="0"/>
  </r>
  <r>
    <x v="3"/>
    <n v="1"/>
    <n v="114"/>
    <x v="0"/>
  </r>
  <r>
    <x v="1"/>
    <n v="1"/>
    <n v="113"/>
    <x v="0"/>
  </r>
  <r>
    <x v="1"/>
    <n v="1"/>
    <n v="271"/>
    <x v="0"/>
  </r>
  <r>
    <x v="1"/>
    <n v="1"/>
    <n v="294"/>
    <x v="0"/>
  </r>
  <r>
    <x v="1"/>
    <n v="1"/>
    <n v="183"/>
    <x v="0"/>
  </r>
  <r>
    <x v="1"/>
    <n v="1"/>
    <n v="232"/>
    <x v="0"/>
  </r>
  <r>
    <x v="1"/>
    <n v="1"/>
    <n v="231"/>
    <x v="0"/>
  </r>
  <r>
    <x v="6"/>
    <n v="1"/>
    <n v="246"/>
    <x v="1"/>
  </r>
  <r>
    <x v="0"/>
    <n v="1"/>
    <n v="194"/>
    <x v="0"/>
  </r>
  <r>
    <x v="8"/>
    <n v="1"/>
    <n v="55"/>
    <x v="2"/>
  </r>
  <r>
    <x v="3"/>
    <n v="1"/>
    <n v="157"/>
    <x v="0"/>
  </r>
  <r>
    <x v="0"/>
    <n v="1"/>
    <n v="262"/>
    <x v="0"/>
  </r>
  <r>
    <x v="5"/>
    <n v="1"/>
    <n v="206"/>
    <x v="2"/>
  </r>
  <r>
    <x v="1"/>
    <n v="1"/>
    <n v="21"/>
    <x v="0"/>
  </r>
  <r>
    <x v="1"/>
    <n v="1"/>
    <n v="255"/>
    <x v="0"/>
  </r>
  <r>
    <x v="1"/>
    <n v="1"/>
    <n v="192"/>
    <x v="0"/>
  </r>
  <r>
    <x v="0"/>
    <n v="1"/>
    <n v="230"/>
    <x v="0"/>
  </r>
  <r>
    <x v="0"/>
    <n v="1"/>
    <n v="105"/>
    <x v="0"/>
  </r>
  <r>
    <x v="3"/>
    <n v="1"/>
    <n v="54"/>
    <x v="0"/>
  </r>
  <r>
    <x v="1"/>
    <n v="1"/>
    <n v="143"/>
    <x v="0"/>
  </r>
  <r>
    <x v="0"/>
    <n v="1"/>
    <n v="-9"/>
    <x v="0"/>
  </r>
  <r>
    <x v="5"/>
    <n v="1"/>
    <n v="156"/>
    <x v="2"/>
  </r>
  <r>
    <x v="3"/>
    <n v="1"/>
    <n v="221"/>
    <x v="0"/>
  </r>
  <r>
    <x v="4"/>
    <n v="1"/>
    <n v="100"/>
    <x v="1"/>
  </r>
  <r>
    <x v="4"/>
    <n v="1"/>
    <n v="176"/>
    <x v="1"/>
  </r>
  <r>
    <x v="4"/>
    <n v="1"/>
    <n v="128"/>
    <x v="1"/>
  </r>
  <r>
    <x v="1"/>
    <n v="1"/>
    <n v="23"/>
    <x v="0"/>
  </r>
  <r>
    <x v="4"/>
    <n v="1"/>
    <n v="78"/>
    <x v="1"/>
  </r>
  <r>
    <x v="4"/>
    <n v="1"/>
    <n v="51"/>
    <x v="1"/>
  </r>
  <r>
    <x v="1"/>
    <n v="1"/>
    <n v="128"/>
    <x v="0"/>
  </r>
  <r>
    <x v="3"/>
    <n v="1"/>
    <n v="257"/>
    <x v="0"/>
  </r>
  <r>
    <x v="4"/>
    <n v="1"/>
    <n v="127"/>
    <x v="1"/>
  </r>
  <r>
    <x v="4"/>
    <n v="1"/>
    <n v="295"/>
    <x v="1"/>
  </r>
  <r>
    <x v="1"/>
    <n v="1"/>
    <n v="248"/>
    <x v="0"/>
  </r>
  <r>
    <x v="5"/>
    <n v="1"/>
    <n v="63"/>
    <x v="2"/>
  </r>
  <r>
    <x v="1"/>
    <n v="1"/>
    <n v="89"/>
    <x v="0"/>
  </r>
  <r>
    <x v="4"/>
    <n v="1"/>
    <n v="116"/>
    <x v="1"/>
  </r>
  <r>
    <x v="1"/>
    <n v="1"/>
    <n v="147"/>
    <x v="0"/>
  </r>
  <r>
    <x v="3"/>
    <n v="1"/>
    <n v="185"/>
    <x v="0"/>
  </r>
  <r>
    <x v="5"/>
    <n v="1"/>
    <n v="290"/>
    <x v="2"/>
  </r>
  <r>
    <x v="7"/>
    <n v="1"/>
    <n v="139"/>
    <x v="1"/>
  </r>
  <r>
    <x v="5"/>
    <n v="1"/>
    <n v="16"/>
    <x v="2"/>
  </r>
  <r>
    <x v="8"/>
    <n v="1"/>
    <n v="64"/>
    <x v="2"/>
  </r>
  <r>
    <x v="3"/>
    <n v="1"/>
    <n v="279"/>
    <x v="0"/>
  </r>
  <r>
    <x v="1"/>
    <n v="1"/>
    <n v="206"/>
    <x v="0"/>
  </r>
  <r>
    <x v="1"/>
    <n v="1"/>
    <n v="257"/>
    <x v="0"/>
  </r>
  <r>
    <x v="1"/>
    <n v="1"/>
    <n v="253"/>
    <x v="0"/>
  </r>
  <r>
    <x v="0"/>
    <n v="1"/>
    <n v="168"/>
    <x v="0"/>
  </r>
  <r>
    <x v="1"/>
    <n v="1"/>
    <n v="100"/>
    <x v="0"/>
  </r>
  <r>
    <x v="1"/>
    <n v="1"/>
    <n v="295"/>
    <x v="0"/>
  </r>
  <r>
    <x v="7"/>
    <n v="1"/>
    <n v="93"/>
    <x v="1"/>
  </r>
  <r>
    <x v="5"/>
    <n v="1"/>
    <n v="195"/>
    <x v="2"/>
  </r>
  <r>
    <x v="1"/>
    <n v="1"/>
    <n v="267"/>
    <x v="0"/>
  </r>
  <r>
    <x v="1"/>
    <n v="1"/>
    <n v="136"/>
    <x v="0"/>
  </r>
  <r>
    <x v="1"/>
    <n v="1"/>
    <n v="145"/>
    <x v="0"/>
  </r>
  <r>
    <x v="1"/>
    <n v="1"/>
    <n v="184"/>
    <x v="0"/>
  </r>
  <r>
    <x v="4"/>
    <n v="1"/>
    <n v="171"/>
    <x v="1"/>
  </r>
  <r>
    <x v="0"/>
    <n v="1"/>
    <n v="285"/>
    <x v="0"/>
  </r>
  <r>
    <x v="1"/>
    <n v="1"/>
    <n v="248"/>
    <x v="0"/>
  </r>
  <r>
    <x v="1"/>
    <n v="1"/>
    <n v="269"/>
    <x v="0"/>
  </r>
  <r>
    <x v="1"/>
    <n v="1"/>
    <n v="167"/>
    <x v="0"/>
  </r>
  <r>
    <x v="0"/>
    <n v="1"/>
    <n v="94"/>
    <x v="0"/>
  </r>
  <r>
    <x v="1"/>
    <n v="1"/>
    <n v="170"/>
    <x v="0"/>
  </r>
  <r>
    <x v="1"/>
    <n v="1"/>
    <n v="152"/>
    <x v="0"/>
  </r>
  <r>
    <x v="5"/>
    <n v="1"/>
    <n v="107"/>
    <x v="2"/>
  </r>
  <r>
    <x v="0"/>
    <n v="1"/>
    <n v="100"/>
    <x v="0"/>
  </r>
  <r>
    <x v="1"/>
    <n v="1"/>
    <n v="270"/>
    <x v="0"/>
  </r>
  <r>
    <x v="3"/>
    <n v="1"/>
    <n v="116"/>
    <x v="0"/>
  </r>
  <r>
    <x v="7"/>
    <n v="1"/>
    <n v="247"/>
    <x v="1"/>
  </r>
  <r>
    <x v="0"/>
    <n v="1"/>
    <n v="52"/>
    <x v="0"/>
  </r>
  <r>
    <x v="1"/>
    <n v="1"/>
    <n v="86"/>
    <x v="0"/>
  </r>
  <r>
    <x v="1"/>
    <n v="1"/>
    <n v="242"/>
    <x v="0"/>
  </r>
  <r>
    <x v="1"/>
    <n v="1"/>
    <n v="175"/>
    <x v="0"/>
  </r>
  <r>
    <x v="0"/>
    <n v="1"/>
    <n v="214"/>
    <x v="0"/>
  </r>
  <r>
    <x v="4"/>
    <n v="1"/>
    <n v="230"/>
    <x v="1"/>
  </r>
  <r>
    <x v="7"/>
    <n v="1"/>
    <n v="70"/>
    <x v="1"/>
  </r>
  <r>
    <x v="2"/>
    <n v="1"/>
    <n v="194"/>
    <x v="1"/>
  </r>
  <r>
    <x v="0"/>
    <n v="1"/>
    <n v="120"/>
    <x v="0"/>
  </r>
  <r>
    <x v="7"/>
    <n v="1"/>
    <n v="294"/>
    <x v="1"/>
  </r>
  <r>
    <x v="5"/>
    <n v="1"/>
    <n v="156"/>
    <x v="2"/>
  </r>
  <r>
    <x v="1"/>
    <n v="1"/>
    <n v="248"/>
    <x v="0"/>
  </r>
  <r>
    <x v="1"/>
    <n v="1"/>
    <n v="177"/>
    <x v="0"/>
  </r>
  <r>
    <x v="4"/>
    <n v="1"/>
    <n v="193"/>
    <x v="1"/>
  </r>
  <r>
    <x v="0"/>
    <n v="1"/>
    <n v="160"/>
    <x v="0"/>
  </r>
  <r>
    <x v="3"/>
    <n v="1"/>
    <n v="181"/>
    <x v="0"/>
  </r>
  <r>
    <x v="5"/>
    <n v="1"/>
    <n v="166"/>
    <x v="2"/>
  </r>
  <r>
    <x v="1"/>
    <n v="1"/>
    <n v="139"/>
    <x v="0"/>
  </r>
  <r>
    <x v="1"/>
    <n v="1"/>
    <n v="250"/>
    <x v="0"/>
  </r>
  <r>
    <x v="1"/>
    <n v="1"/>
    <n v="256"/>
    <x v="0"/>
  </r>
  <r>
    <x v="3"/>
    <n v="1"/>
    <n v="237"/>
    <x v="0"/>
  </r>
  <r>
    <x v="1"/>
    <n v="1"/>
    <n v="129"/>
    <x v="0"/>
  </r>
  <r>
    <x v="7"/>
    <n v="1"/>
    <n v="101"/>
    <x v="1"/>
  </r>
  <r>
    <x v="0"/>
    <n v="1"/>
    <n v="230"/>
    <x v="0"/>
  </r>
  <r>
    <x v="6"/>
    <n v="1"/>
    <n v="129"/>
    <x v="1"/>
  </r>
  <r>
    <x v="1"/>
    <n v="1"/>
    <n v="194"/>
    <x v="0"/>
  </r>
  <r>
    <x v="1"/>
    <n v="1"/>
    <n v="138"/>
    <x v="0"/>
  </r>
  <r>
    <x v="1"/>
    <n v="1"/>
    <n v="179"/>
    <x v="0"/>
  </r>
  <r>
    <x v="4"/>
    <n v="1"/>
    <n v="165"/>
    <x v="1"/>
  </r>
  <r>
    <x v="0"/>
    <n v="1"/>
    <n v="202"/>
    <x v="0"/>
  </r>
  <r>
    <x v="7"/>
    <n v="1"/>
    <n v="165"/>
    <x v="1"/>
  </r>
  <r>
    <x v="1"/>
    <n v="1"/>
    <n v="265"/>
    <x v="0"/>
  </r>
  <r>
    <x v="7"/>
    <n v="1"/>
    <n v="129"/>
    <x v="1"/>
  </r>
  <r>
    <x v="7"/>
    <n v="1"/>
    <n v="132"/>
    <x v="1"/>
  </r>
  <r>
    <x v="5"/>
    <n v="1"/>
    <n v="97"/>
    <x v="2"/>
  </r>
  <r>
    <x v="0"/>
    <n v="1"/>
    <n v="205"/>
    <x v="0"/>
  </r>
  <r>
    <x v="4"/>
    <n v="1"/>
    <n v="120"/>
    <x v="1"/>
  </r>
  <r>
    <x v="0"/>
    <n v="1"/>
    <n v="244"/>
    <x v="0"/>
  </r>
  <r>
    <x v="1"/>
    <n v="1"/>
    <n v="81"/>
    <x v="0"/>
  </r>
  <r>
    <x v="3"/>
    <n v="1"/>
    <n v="90"/>
    <x v="0"/>
  </r>
  <r>
    <x v="7"/>
    <n v="1"/>
    <n v="289"/>
    <x v="1"/>
  </r>
  <r>
    <x v="1"/>
    <n v="1"/>
    <n v="238"/>
    <x v="0"/>
  </r>
  <r>
    <x v="1"/>
    <n v="1"/>
    <n v="233"/>
    <x v="0"/>
  </r>
  <r>
    <x v="1"/>
    <n v="1"/>
    <n v="140"/>
    <x v="0"/>
  </r>
  <r>
    <x v="1"/>
    <n v="1"/>
    <n v="216"/>
    <x v="0"/>
  </r>
  <r>
    <x v="1"/>
    <n v="1"/>
    <n v="201"/>
    <x v="0"/>
  </r>
  <r>
    <x v="1"/>
    <n v="1"/>
    <n v="110"/>
    <x v="0"/>
  </r>
  <r>
    <x v="1"/>
    <n v="1"/>
    <n v="74"/>
    <x v="0"/>
  </r>
  <r>
    <x v="2"/>
    <n v="1"/>
    <n v="199"/>
    <x v="1"/>
  </r>
  <r>
    <x v="3"/>
    <n v="1"/>
    <n v="194"/>
    <x v="0"/>
  </r>
  <r>
    <x v="1"/>
    <n v="1"/>
    <n v="185"/>
    <x v="0"/>
  </r>
  <r>
    <x v="1"/>
    <n v="1"/>
    <n v="170"/>
    <x v="0"/>
  </r>
  <r>
    <x v="7"/>
    <n v="1"/>
    <n v="193"/>
    <x v="1"/>
  </r>
  <r>
    <x v="4"/>
    <n v="1"/>
    <n v="148"/>
    <x v="1"/>
  </r>
  <r>
    <x v="7"/>
    <n v="1"/>
    <n v="211"/>
    <x v="1"/>
  </r>
  <r>
    <x v="1"/>
    <n v="1"/>
    <n v="159"/>
    <x v="0"/>
  </r>
  <r>
    <x v="5"/>
    <n v="1"/>
    <n v="29"/>
    <x v="2"/>
  </r>
  <r>
    <x v="1"/>
    <n v="1"/>
    <n v="178"/>
    <x v="0"/>
  </r>
  <r>
    <x v="8"/>
    <n v="1"/>
    <n v="52"/>
    <x v="2"/>
  </r>
  <r>
    <x v="2"/>
    <n v="1"/>
    <n v="55"/>
    <x v="1"/>
  </r>
  <r>
    <x v="3"/>
    <n v="1"/>
    <n v="209"/>
    <x v="0"/>
  </r>
  <r>
    <x v="1"/>
    <n v="1"/>
    <n v="230"/>
    <x v="0"/>
  </r>
  <r>
    <x v="1"/>
    <n v="1"/>
    <n v="50"/>
    <x v="0"/>
  </r>
  <r>
    <x v="1"/>
    <n v="1"/>
    <n v="69"/>
    <x v="0"/>
  </r>
  <r>
    <x v="1"/>
    <n v="1"/>
    <n v="289"/>
    <x v="0"/>
  </r>
  <r>
    <x v="1"/>
    <n v="1"/>
    <n v="152"/>
    <x v="0"/>
  </r>
  <r>
    <x v="5"/>
    <n v="1"/>
    <n v="91"/>
    <x v="2"/>
  </r>
  <r>
    <x v="0"/>
    <n v="1"/>
    <n v="187"/>
    <x v="0"/>
  </r>
  <r>
    <x v="7"/>
    <n v="1"/>
    <n v="71"/>
    <x v="1"/>
  </r>
  <r>
    <x v="4"/>
    <n v="1"/>
    <n v="41"/>
    <x v="1"/>
  </r>
  <r>
    <x v="6"/>
    <n v="1"/>
    <n v="65"/>
    <x v="1"/>
  </r>
  <r>
    <x v="1"/>
    <n v="1"/>
    <n v="291"/>
    <x v="0"/>
  </r>
  <r>
    <x v="1"/>
    <n v="1"/>
    <n v="267"/>
    <x v="0"/>
  </r>
  <r>
    <x v="2"/>
    <n v="1"/>
    <n v="31"/>
    <x v="1"/>
  </r>
  <r>
    <x v="0"/>
    <n v="1"/>
    <n v="42"/>
    <x v="0"/>
  </r>
  <r>
    <x v="3"/>
    <n v="1"/>
    <n v="261"/>
    <x v="0"/>
  </r>
  <r>
    <x v="0"/>
    <n v="1"/>
    <n v="223"/>
    <x v="0"/>
  </r>
  <r>
    <x v="4"/>
    <n v="1"/>
    <n v="251"/>
    <x v="1"/>
  </r>
  <r>
    <x v="8"/>
    <n v="1"/>
    <n v="77"/>
    <x v="2"/>
  </r>
  <r>
    <x v="2"/>
    <n v="1"/>
    <n v="211"/>
    <x v="1"/>
  </r>
  <r>
    <x v="4"/>
    <n v="1"/>
    <n v="245"/>
    <x v="1"/>
  </r>
  <r>
    <x v="1"/>
    <n v="1"/>
    <n v="279"/>
    <x v="0"/>
  </r>
  <r>
    <x v="3"/>
    <n v="1"/>
    <n v="252"/>
    <x v="0"/>
  </r>
  <r>
    <x v="1"/>
    <n v="1"/>
    <n v="285"/>
    <x v="0"/>
  </r>
  <r>
    <x v="1"/>
    <n v="1"/>
    <n v="117"/>
    <x v="0"/>
  </r>
  <r>
    <x v="3"/>
    <n v="1"/>
    <n v="118"/>
    <x v="0"/>
  </r>
  <r>
    <x v="0"/>
    <n v="1"/>
    <n v="159"/>
    <x v="0"/>
  </r>
  <r>
    <x v="1"/>
    <n v="1"/>
    <n v="159"/>
    <x v="0"/>
  </r>
  <r>
    <x v="6"/>
    <n v="1"/>
    <n v="218"/>
    <x v="1"/>
  </r>
  <r>
    <x v="1"/>
    <n v="1"/>
    <n v="286"/>
    <x v="0"/>
  </r>
  <r>
    <x v="1"/>
    <n v="1"/>
    <n v="140"/>
    <x v="0"/>
  </r>
  <r>
    <x v="4"/>
    <n v="1"/>
    <n v="241"/>
    <x v="1"/>
  </r>
  <r>
    <x v="7"/>
    <n v="1"/>
    <n v="163"/>
    <x v="1"/>
  </r>
  <r>
    <x v="0"/>
    <n v="1"/>
    <n v="134"/>
    <x v="0"/>
  </r>
  <r>
    <x v="1"/>
    <n v="1"/>
    <n v="139"/>
    <x v="0"/>
  </r>
  <r>
    <x v="7"/>
    <n v="1"/>
    <n v="145"/>
    <x v="1"/>
  </r>
  <r>
    <x v="5"/>
    <n v="1"/>
    <n v="91"/>
    <x v="2"/>
  </r>
  <r>
    <x v="4"/>
    <n v="1"/>
    <n v="126"/>
    <x v="1"/>
  </r>
  <r>
    <x v="7"/>
    <n v="1"/>
    <n v="58"/>
    <x v="1"/>
  </r>
  <r>
    <x v="6"/>
    <n v="1"/>
    <n v="109"/>
    <x v="1"/>
  </r>
  <r>
    <x v="0"/>
    <n v="1"/>
    <n v="143"/>
    <x v="0"/>
  </r>
  <r>
    <x v="7"/>
    <n v="1"/>
    <n v="283"/>
    <x v="1"/>
  </r>
  <r>
    <x v="7"/>
    <n v="1"/>
    <n v="264"/>
    <x v="1"/>
  </r>
  <r>
    <x v="1"/>
    <n v="1"/>
    <n v="191"/>
    <x v="0"/>
  </r>
  <r>
    <x v="0"/>
    <n v="1"/>
    <n v="147"/>
    <x v="0"/>
  </r>
  <r>
    <x v="8"/>
    <n v="1"/>
    <n v="96"/>
    <x v="2"/>
  </r>
  <r>
    <x v="1"/>
    <n v="1"/>
    <n v="271"/>
    <x v="0"/>
  </r>
  <r>
    <x v="3"/>
    <n v="1"/>
    <n v="168"/>
    <x v="0"/>
  </r>
  <r>
    <x v="4"/>
    <n v="1"/>
    <n v="173"/>
    <x v="1"/>
  </r>
  <r>
    <x v="1"/>
    <n v="1"/>
    <n v="278"/>
    <x v="0"/>
  </r>
  <r>
    <x v="0"/>
    <n v="1"/>
    <n v="228"/>
    <x v="0"/>
  </r>
  <r>
    <x v="0"/>
    <n v="1"/>
    <n v="213"/>
    <x v="0"/>
  </r>
  <r>
    <x v="5"/>
    <n v="1"/>
    <n v="216"/>
    <x v="2"/>
  </r>
  <r>
    <x v="7"/>
    <n v="1"/>
    <n v="238"/>
    <x v="1"/>
  </r>
  <r>
    <x v="1"/>
    <n v="1"/>
    <n v="116"/>
    <x v="0"/>
  </r>
  <r>
    <x v="1"/>
    <n v="1"/>
    <n v="82"/>
    <x v="0"/>
  </r>
  <r>
    <x v="7"/>
    <n v="1"/>
    <n v="178"/>
    <x v="1"/>
  </r>
  <r>
    <x v="4"/>
    <n v="1"/>
    <n v="201"/>
    <x v="1"/>
  </r>
  <r>
    <x v="5"/>
    <n v="1"/>
    <n v="109"/>
    <x v="2"/>
  </r>
  <r>
    <x v="5"/>
    <n v="1"/>
    <n v="281"/>
    <x v="2"/>
  </r>
  <r>
    <x v="4"/>
    <n v="1"/>
    <n v="215"/>
    <x v="1"/>
  </r>
  <r>
    <x v="0"/>
    <n v="1"/>
    <n v="192"/>
    <x v="0"/>
  </r>
  <r>
    <x v="0"/>
    <n v="1"/>
    <n v="254"/>
    <x v="0"/>
  </r>
  <r>
    <x v="2"/>
    <n v="1"/>
    <n v="246"/>
    <x v="1"/>
  </r>
  <r>
    <x v="1"/>
    <n v="1"/>
    <n v="124"/>
    <x v="0"/>
  </r>
  <r>
    <x v="5"/>
    <n v="1"/>
    <n v="158"/>
    <x v="2"/>
  </r>
  <r>
    <x v="0"/>
    <n v="1"/>
    <n v="207"/>
    <x v="0"/>
  </r>
  <r>
    <x v="1"/>
    <n v="1"/>
    <n v="216"/>
    <x v="0"/>
  </r>
  <r>
    <x v="6"/>
    <n v="1"/>
    <n v="107"/>
    <x v="1"/>
  </r>
  <r>
    <x v="0"/>
    <n v="1"/>
    <n v="247"/>
    <x v="0"/>
  </r>
  <r>
    <x v="8"/>
    <n v="1"/>
    <n v="88"/>
    <x v="2"/>
  </r>
  <r>
    <x v="1"/>
    <n v="1"/>
    <n v="274"/>
    <x v="0"/>
  </r>
  <r>
    <x v="0"/>
    <n v="1"/>
    <n v="275"/>
    <x v="0"/>
  </r>
  <r>
    <x v="1"/>
    <n v="1"/>
    <n v="198"/>
    <x v="0"/>
  </r>
  <r>
    <x v="1"/>
    <n v="1"/>
    <n v="233"/>
    <x v="0"/>
  </r>
  <r>
    <x v="1"/>
    <n v="1"/>
    <n v="132"/>
    <x v="0"/>
  </r>
  <r>
    <x v="6"/>
    <n v="1"/>
    <n v="204"/>
    <x v="1"/>
  </r>
  <r>
    <x v="5"/>
    <n v="1"/>
    <n v="158"/>
    <x v="2"/>
  </r>
  <r>
    <x v="0"/>
    <n v="1"/>
    <n v="210"/>
    <x v="0"/>
  </r>
  <r>
    <x v="1"/>
    <n v="1"/>
    <n v="117"/>
    <x v="0"/>
  </r>
  <r>
    <x v="3"/>
    <n v="1"/>
    <n v="139"/>
    <x v="0"/>
  </r>
  <r>
    <x v="1"/>
    <n v="1"/>
    <n v="152"/>
    <x v="0"/>
  </r>
  <r>
    <x v="5"/>
    <n v="1"/>
    <n v="181"/>
    <x v="2"/>
  </r>
  <r>
    <x v="0"/>
    <n v="1"/>
    <n v="170"/>
    <x v="0"/>
  </r>
  <r>
    <x v="1"/>
    <n v="1"/>
    <n v="227"/>
    <x v="0"/>
  </r>
  <r>
    <x v="7"/>
    <n v="1"/>
    <n v="174"/>
    <x v="1"/>
  </r>
  <r>
    <x v="1"/>
    <n v="1"/>
    <n v="223"/>
    <x v="0"/>
  </r>
  <r>
    <x v="1"/>
    <n v="1"/>
    <n v="161"/>
    <x v="0"/>
  </r>
  <r>
    <x v="0"/>
    <n v="1"/>
    <n v="98"/>
    <x v="0"/>
  </r>
  <r>
    <x v="3"/>
    <n v="1"/>
    <n v="82"/>
    <x v="0"/>
  </r>
  <r>
    <x v="1"/>
    <n v="1"/>
    <n v="187"/>
    <x v="0"/>
  </r>
  <r>
    <x v="1"/>
    <n v="1"/>
    <n v="283"/>
    <x v="0"/>
  </r>
  <r>
    <x v="5"/>
    <n v="1"/>
    <n v="172"/>
    <x v="2"/>
  </r>
  <r>
    <x v="7"/>
    <n v="1"/>
    <n v="281"/>
    <x v="1"/>
  </r>
  <r>
    <x v="1"/>
    <n v="1"/>
    <n v="201"/>
    <x v="0"/>
  </r>
  <r>
    <x v="3"/>
    <n v="1"/>
    <n v="190"/>
    <x v="0"/>
  </r>
  <r>
    <x v="1"/>
    <n v="1"/>
    <n v="202"/>
    <x v="0"/>
  </r>
  <r>
    <x v="1"/>
    <n v="1"/>
    <n v="16"/>
    <x v="0"/>
  </r>
  <r>
    <x v="0"/>
    <n v="1"/>
    <n v="291"/>
    <x v="0"/>
  </r>
  <r>
    <x v="1"/>
    <n v="1"/>
    <n v="179"/>
    <x v="0"/>
  </r>
  <r>
    <x v="3"/>
    <n v="1"/>
    <n v="133"/>
    <x v="0"/>
  </r>
  <r>
    <x v="1"/>
    <n v="1"/>
    <n v="261"/>
    <x v="0"/>
  </r>
  <r>
    <x v="5"/>
    <n v="1"/>
    <n v="55"/>
    <x v="2"/>
  </r>
  <r>
    <x v="3"/>
    <n v="1"/>
    <n v="68"/>
    <x v="0"/>
  </r>
  <r>
    <x v="1"/>
    <n v="1"/>
    <n v="201"/>
    <x v="0"/>
  </r>
  <r>
    <x v="0"/>
    <n v="1"/>
    <n v="297"/>
    <x v="0"/>
  </r>
  <r>
    <x v="1"/>
    <n v="1"/>
    <n v="207"/>
    <x v="0"/>
  </r>
  <r>
    <x v="4"/>
    <n v="1"/>
    <n v="254"/>
    <x v="1"/>
  </r>
  <r>
    <x v="8"/>
    <n v="1"/>
    <n v="192"/>
    <x v="2"/>
  </r>
  <r>
    <x v="8"/>
    <n v="1"/>
    <n v="71"/>
    <x v="2"/>
  </r>
  <r>
    <x v="4"/>
    <n v="1"/>
    <n v="103"/>
    <x v="1"/>
  </r>
  <r>
    <x v="5"/>
    <n v="1"/>
    <n v="90"/>
    <x v="2"/>
  </r>
  <r>
    <x v="3"/>
    <n v="1"/>
    <n v="216"/>
    <x v="0"/>
  </r>
  <r>
    <x v="4"/>
    <n v="1"/>
    <n v="93"/>
    <x v="1"/>
  </r>
  <r>
    <x v="1"/>
    <n v="1"/>
    <n v="65"/>
    <x v="0"/>
  </r>
  <r>
    <x v="1"/>
    <n v="1"/>
    <n v="265"/>
    <x v="0"/>
  </r>
  <r>
    <x v="5"/>
    <n v="1"/>
    <n v="49"/>
    <x v="2"/>
  </r>
  <r>
    <x v="1"/>
    <n v="1"/>
    <n v="119"/>
    <x v="0"/>
  </r>
  <r>
    <x v="6"/>
    <n v="1"/>
    <n v="125"/>
    <x v="1"/>
  </r>
  <r>
    <x v="0"/>
    <n v="1"/>
    <n v="108"/>
    <x v="0"/>
  </r>
  <r>
    <x v="4"/>
    <n v="1"/>
    <n v="289"/>
    <x v="1"/>
  </r>
  <r>
    <x v="1"/>
    <n v="1"/>
    <n v="151"/>
    <x v="0"/>
  </r>
  <r>
    <x v="1"/>
    <n v="1"/>
    <n v="64"/>
    <x v="0"/>
  </r>
  <r>
    <x v="1"/>
    <n v="1"/>
    <n v="104"/>
    <x v="0"/>
  </r>
  <r>
    <x v="1"/>
    <n v="1"/>
    <n v="101"/>
    <x v="0"/>
  </r>
  <r>
    <x v="4"/>
    <n v="1"/>
    <n v="49"/>
    <x v="1"/>
  </r>
  <r>
    <x v="1"/>
    <n v="1"/>
    <n v="130"/>
    <x v="0"/>
  </r>
  <r>
    <x v="1"/>
    <n v="1"/>
    <n v="219"/>
    <x v="0"/>
  </r>
  <r>
    <x v="3"/>
    <n v="1"/>
    <n v="108"/>
    <x v="0"/>
  </r>
  <r>
    <x v="4"/>
    <n v="1"/>
    <n v="161"/>
    <x v="1"/>
  </r>
  <r>
    <x v="4"/>
    <n v="1"/>
    <n v="25"/>
    <x v="1"/>
  </r>
  <r>
    <x v="3"/>
    <n v="1"/>
    <n v="288"/>
    <x v="0"/>
  </r>
  <r>
    <x v="1"/>
    <n v="1"/>
    <n v="247"/>
    <x v="0"/>
  </r>
  <r>
    <x v="5"/>
    <n v="1"/>
    <n v="209"/>
    <x v="2"/>
  </r>
  <r>
    <x v="4"/>
    <n v="1"/>
    <n v="194"/>
    <x v="1"/>
  </r>
  <r>
    <x v="4"/>
    <n v="1"/>
    <n v="108"/>
    <x v="1"/>
  </r>
  <r>
    <x v="4"/>
    <n v="1"/>
    <n v="146"/>
    <x v="1"/>
  </r>
  <r>
    <x v="1"/>
    <n v="1"/>
    <n v="278"/>
    <x v="0"/>
  </r>
  <r>
    <x v="7"/>
    <n v="1"/>
    <n v="75"/>
    <x v="1"/>
  </r>
  <r>
    <x v="5"/>
    <n v="1"/>
    <n v="88"/>
    <x v="2"/>
  </r>
  <r>
    <x v="1"/>
    <n v="1"/>
    <n v="19"/>
    <x v="0"/>
  </r>
  <r>
    <x v="0"/>
    <n v="1"/>
    <n v="133"/>
    <x v="0"/>
  </r>
  <r>
    <x v="1"/>
    <n v="1"/>
    <n v="16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38557-BB43-4343-8F71-235F59304FF2}" name="PivotTable1" cacheId="437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12:D16" firstHeaderRow="0" firstDataRow="1" firstDataCol="1"/>
  <pivotFields count="4">
    <pivotField compact="0" outline="0" showAll="0">
      <items count="10">
        <item x="5"/>
        <item x="8"/>
        <item x="2"/>
        <item x="7"/>
        <item x="6"/>
        <item x="4"/>
        <item x="3"/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 sortType="ascending">
      <items count="4">
        <item x="0"/>
        <item x="2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raud_bool" fld="1" subtotal="count" baseField="0" baseItem="0"/>
    <dataField name="Sum of fraud_bool" fld="1" showDataAs="percentOfTotal" baseField="0" baseItem="0" numFmtId="10"/>
  </dataFields>
  <formats count="9">
    <format dxfId="2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field="3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grandRow="1" outline="0" collapsedLevelsAreSubtotals="1" fieldPosition="0"/>
    </format>
    <format dxfId="9">
      <pivotArea dataOnly="0" labelOnly="1" grandRow="1" outline="0" fieldPosition="0"/>
    </format>
    <format dxfId="1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come_Bracket" xr10:uid="{99BDFEE4-5826-4226-B614-DA18DFB04E0D}" sourceName="Income Bracket">
  <pivotTables>
    <pivotTable tabId="5" name="PivotTable1"/>
  </pivotTables>
  <data>
    <tabular pivotCacheId="294576256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come Bracket" xr10:uid="{D980FCE0-6B18-403B-97B4-A36BE2532A7B}" cache="Slicer_Income_Bracket" caption="Income Bracke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41600-EC17-44FD-851E-221DAB5D691D}" name="GapData" displayName="GapData" ref="A1:D997" totalsRowShown="0">
  <autoFilter ref="A1:D997" xr:uid="{99041600-EC17-44FD-851E-221DAB5D691D}"/>
  <tableColumns count="4">
    <tableColumn id="1" xr3:uid="{DEC07649-3A01-4671-8BB1-F4DBA067339E}" name="income" dataDxfId="1"/>
    <tableColumn id="2" xr3:uid="{24D27A39-B74A-428A-B3B3-F9B6ED073B8D}" name="fraud_bool"/>
    <tableColumn id="3" xr3:uid="{41CCEAC8-7CD5-40D4-9988-8A20183937CC}" name="credit_risk_score"/>
    <tableColumn id="5" xr3:uid="{8115EFF2-85BB-4BA3-A900-D1642B6A8DA0}" name="Income Bracket" dataDxfId="0">
      <calculatedColumnFormula>IF(GapData[[#This Row],[income]] &lt; 0.3, "Low Income", IF(GapData[[#This Row],[income]] &lt; 0.7, "Mid Income", "High Income"))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2E64D6-B723-4677-931F-ADAC35CB459F}" name="Table2" displayName="Table2" ref="A1:B4" totalsRowShown="0">
  <autoFilter ref="A1:B4" xr:uid="{C12E64D6-B723-4677-931F-ADAC35CB459F}"/>
  <tableColumns count="2">
    <tableColumn id="1" xr3:uid="{CB83F29D-4183-4DE9-8D41-01FCC15E57B1}" name="Income_Bracket"/>
    <tableColumn id="2" xr3:uid="{CCA31E02-C7CB-4D10-A9FB-6DE28A627A31}" name="Fraud_Rate_By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188-B5CD-433A-8752-9FB40BE3C9A0}">
  <dimension ref="A1:D997"/>
  <sheetViews>
    <sheetView workbookViewId="0">
      <selection activeCell="D13" sqref="D13"/>
    </sheetView>
  </sheetViews>
  <sheetFormatPr defaultRowHeight="15"/>
  <cols>
    <col min="1" max="1" width="14.5703125" style="3" customWidth="1"/>
    <col min="2" max="2" width="13" bestFit="1" customWidth="1"/>
    <col min="3" max="3" width="18.28515625" customWidth="1"/>
    <col min="4" max="4" width="17" bestFit="1" customWidth="1"/>
    <col min="8" max="8" width="9" customWidth="1"/>
  </cols>
  <sheetData>
    <row r="1" spans="1:4">
      <c r="A1" s="3" t="s">
        <v>0</v>
      </c>
      <c r="B1" t="s">
        <v>1</v>
      </c>
      <c r="C1" t="s">
        <v>2</v>
      </c>
      <c r="D1" t="s">
        <v>3</v>
      </c>
    </row>
    <row r="2" spans="1:4">
      <c r="A2" s="3">
        <v>0.8</v>
      </c>
      <c r="B2">
        <v>1</v>
      </c>
      <c r="C2">
        <v>172</v>
      </c>
      <c r="D2" t="str">
        <f>IF(GapData[[#This Row],[income]] &lt; 0.3, "Low Income", IF(GapData[[#This Row],[income]] &lt; 0.7, "Mid Income", "High Income"))</f>
        <v>High Income</v>
      </c>
    </row>
    <row r="3" spans="1:4">
      <c r="A3" s="3">
        <v>0.9</v>
      </c>
      <c r="B3">
        <v>1</v>
      </c>
      <c r="C3">
        <v>281</v>
      </c>
      <c r="D3" t="str">
        <f>IF(GapData[[#This Row],[income]] &lt; 0.3, "Low Income", IF(GapData[[#This Row],[income]] &lt; 0.7, "Mid Income", "High Income"))</f>
        <v>High Income</v>
      </c>
    </row>
    <row r="4" spans="1:4">
      <c r="A4" s="3">
        <v>0.9</v>
      </c>
      <c r="B4">
        <v>1</v>
      </c>
      <c r="C4">
        <v>80</v>
      </c>
      <c r="D4" t="str">
        <f>IF(GapData[[#This Row],[income]] &lt; 0.3, "Low Income", IF(GapData[[#This Row],[income]] &lt; 0.7, "Mid Income", "High Income"))</f>
        <v>High Income</v>
      </c>
    </row>
    <row r="5" spans="1:4">
      <c r="A5" s="3">
        <v>0.9</v>
      </c>
      <c r="B5">
        <v>1</v>
      </c>
      <c r="C5">
        <v>244</v>
      </c>
      <c r="D5" t="str">
        <f>IF(GapData[[#This Row],[income]] &lt; 0.3, "Low Income", IF(GapData[[#This Row],[income]] &lt; 0.7, "Mid Income", "High Income"))</f>
        <v>High Income</v>
      </c>
    </row>
    <row r="6" spans="1:4">
      <c r="A6" s="3">
        <v>0.3</v>
      </c>
      <c r="B6">
        <v>1</v>
      </c>
      <c r="C6">
        <v>36</v>
      </c>
      <c r="D6" t="str">
        <f>IF(GapData[[#This Row],[income]] &lt; 0.3, "Low Income", IF(GapData[[#This Row],[income]] &lt; 0.7, "Mid Income", "High Income"))</f>
        <v>Mid Income</v>
      </c>
    </row>
    <row r="7" spans="1:4">
      <c r="A7" s="3">
        <v>0.9</v>
      </c>
      <c r="B7">
        <v>1</v>
      </c>
      <c r="C7">
        <v>150</v>
      </c>
      <c r="D7" t="str">
        <f>IF(GapData[[#This Row],[income]] &lt; 0.3, "Low Income", IF(GapData[[#This Row],[income]] &lt; 0.7, "Mid Income", "High Income"))</f>
        <v>High Income</v>
      </c>
    </row>
    <row r="8" spans="1:4">
      <c r="A8" s="3">
        <v>0.9</v>
      </c>
      <c r="B8">
        <v>1</v>
      </c>
      <c r="C8">
        <v>285</v>
      </c>
      <c r="D8" t="str">
        <f>IF(GapData[[#This Row],[income]] &lt; 0.3, "Low Income", IF(GapData[[#This Row],[income]] &lt; 0.7, "Mid Income", "High Income"))</f>
        <v>High Income</v>
      </c>
    </row>
    <row r="9" spans="1:4">
      <c r="A9" s="3">
        <v>0.7</v>
      </c>
      <c r="B9">
        <v>1</v>
      </c>
      <c r="C9">
        <v>128</v>
      </c>
      <c r="D9" t="str">
        <f>IF(GapData[[#This Row],[income]] &lt; 0.3, "Low Income", IF(GapData[[#This Row],[income]] &lt; 0.7, "Mid Income", "High Income"))</f>
        <v>High Income</v>
      </c>
    </row>
    <row r="10" spans="1:4">
      <c r="A10" s="3">
        <v>0.9</v>
      </c>
      <c r="B10">
        <v>1</v>
      </c>
      <c r="C10">
        <v>106</v>
      </c>
      <c r="D10" t="str">
        <f>IF(GapData[[#This Row],[income]] &lt; 0.3, "Low Income", IF(GapData[[#This Row],[income]] &lt; 0.7, "Mid Income", "High Income"))</f>
        <v>High Income</v>
      </c>
    </row>
    <row r="11" spans="1:4">
      <c r="A11" s="3">
        <v>0.7</v>
      </c>
      <c r="B11">
        <v>1</v>
      </c>
      <c r="C11">
        <v>62</v>
      </c>
      <c r="D11" t="str">
        <f>IF(GapData[[#This Row],[income]] &lt; 0.3, "Low Income", IF(GapData[[#This Row],[income]] &lt; 0.7, "Mid Income", "High Income"))</f>
        <v>High Income</v>
      </c>
    </row>
    <row r="12" spans="1:4">
      <c r="A12" s="3">
        <v>0.9</v>
      </c>
      <c r="B12">
        <v>1</v>
      </c>
      <c r="C12">
        <v>101</v>
      </c>
      <c r="D12" t="str">
        <f>IF(GapData[[#This Row],[income]] &lt; 0.3, "Low Income", IF(GapData[[#This Row],[income]] &lt; 0.7, "Mid Income", "High Income"))</f>
        <v>High Income</v>
      </c>
    </row>
    <row r="13" spans="1:4">
      <c r="A13" s="3">
        <v>0.9</v>
      </c>
      <c r="B13">
        <v>1</v>
      </c>
      <c r="C13">
        <v>101</v>
      </c>
      <c r="D13" t="str">
        <f>IF(GapData[[#This Row],[income]] &lt; 0.3, "Low Income", IF(GapData[[#This Row],[income]] &lt; 0.7, "Mid Income", "High Income"))</f>
        <v>High Income</v>
      </c>
    </row>
    <row r="14" spans="1:4">
      <c r="A14" s="3">
        <v>0.6</v>
      </c>
      <c r="B14">
        <v>1</v>
      </c>
      <c r="C14">
        <v>234</v>
      </c>
      <c r="D14" t="str">
        <f>IF(GapData[[#This Row],[income]] &lt; 0.3, "Low Income", IF(GapData[[#This Row],[income]] &lt; 0.7, "Mid Income", "High Income"))</f>
        <v>Mid Income</v>
      </c>
    </row>
    <row r="15" spans="1:4">
      <c r="A15" s="3">
        <v>0.1</v>
      </c>
      <c r="B15">
        <v>1</v>
      </c>
      <c r="C15">
        <v>161</v>
      </c>
      <c r="D15" t="str">
        <f>IF(GapData[[#This Row],[income]] &lt; 0.3, "Low Income", IF(GapData[[#This Row],[income]] &lt; 0.7, "Mid Income", "High Income"))</f>
        <v>Low Income</v>
      </c>
    </row>
    <row r="16" spans="1:4">
      <c r="A16" s="3">
        <v>0.8</v>
      </c>
      <c r="B16">
        <v>1</v>
      </c>
      <c r="C16">
        <v>253</v>
      </c>
      <c r="D16" t="str">
        <f>IF(GapData[[#This Row],[income]] &lt; 0.3, "Low Income", IF(GapData[[#This Row],[income]] &lt; 0.7, "Mid Income", "High Income"))</f>
        <v>High Income</v>
      </c>
    </row>
    <row r="17" spans="1:4">
      <c r="A17" s="3">
        <v>0.8</v>
      </c>
      <c r="B17">
        <v>1</v>
      </c>
      <c r="C17">
        <v>219</v>
      </c>
      <c r="D17" t="str">
        <f>IF(GapData[[#This Row],[income]] &lt; 0.3, "Low Income", IF(GapData[[#This Row],[income]] &lt; 0.7, "Mid Income", "High Income"))</f>
        <v>High Income</v>
      </c>
    </row>
    <row r="18" spans="1:4">
      <c r="A18" s="3">
        <v>0.1</v>
      </c>
      <c r="B18">
        <v>1</v>
      </c>
      <c r="C18">
        <v>178</v>
      </c>
      <c r="D18" t="str">
        <f>IF(GapData[[#This Row],[income]] &lt; 0.3, "Low Income", IF(GapData[[#This Row],[income]] &lt; 0.7, "Mid Income", "High Income"))</f>
        <v>Low Income</v>
      </c>
    </row>
    <row r="19" spans="1:4">
      <c r="A19" s="3">
        <v>0.6</v>
      </c>
      <c r="B19">
        <v>1</v>
      </c>
      <c r="C19">
        <v>49</v>
      </c>
      <c r="D19" t="str">
        <f>IF(GapData[[#This Row],[income]] &lt; 0.3, "Low Income", IF(GapData[[#This Row],[income]] &lt; 0.7, "Mid Income", "High Income"))</f>
        <v>Mid Income</v>
      </c>
    </row>
    <row r="20" spans="1:4">
      <c r="A20" s="3">
        <v>0.7</v>
      </c>
      <c r="B20">
        <v>1</v>
      </c>
      <c r="C20">
        <v>39</v>
      </c>
      <c r="D20" t="str">
        <f>IF(GapData[[#This Row],[income]] &lt; 0.3, "Low Income", IF(GapData[[#This Row],[income]] &lt; 0.7, "Mid Income", "High Income"))</f>
        <v>High Income</v>
      </c>
    </row>
    <row r="21" spans="1:4">
      <c r="A21" s="3">
        <v>0.9</v>
      </c>
      <c r="B21">
        <v>1</v>
      </c>
      <c r="C21">
        <v>242</v>
      </c>
      <c r="D21" t="str">
        <f>IF(GapData[[#This Row],[income]] &lt; 0.3, "Low Income", IF(GapData[[#This Row],[income]] &lt; 0.7, "Mid Income", "High Income"))</f>
        <v>High Income</v>
      </c>
    </row>
    <row r="22" spans="1:4">
      <c r="A22" s="3">
        <v>0.1</v>
      </c>
      <c r="B22">
        <v>1</v>
      </c>
      <c r="C22">
        <v>97</v>
      </c>
      <c r="D22" t="str">
        <f>IF(GapData[[#This Row],[income]] &lt; 0.3, "Low Income", IF(GapData[[#This Row],[income]] &lt; 0.7, "Mid Income", "High Income"))</f>
        <v>Low Income</v>
      </c>
    </row>
    <row r="23" spans="1:4">
      <c r="A23" s="3">
        <v>0.9</v>
      </c>
      <c r="B23">
        <v>1</v>
      </c>
      <c r="C23">
        <v>130</v>
      </c>
      <c r="D23" t="str">
        <f>IF(GapData[[#This Row],[income]] &lt; 0.3, "Low Income", IF(GapData[[#This Row],[income]] &lt; 0.7, "Mid Income", "High Income"))</f>
        <v>High Income</v>
      </c>
    </row>
    <row r="24" spans="1:4">
      <c r="A24" s="3">
        <v>0.9</v>
      </c>
      <c r="B24">
        <v>1</v>
      </c>
      <c r="C24">
        <v>89</v>
      </c>
      <c r="D24" t="str">
        <f>IF(GapData[[#This Row],[income]] &lt; 0.3, "Low Income", IF(GapData[[#This Row],[income]] &lt; 0.7, "Mid Income", "High Income"))</f>
        <v>High Income</v>
      </c>
    </row>
    <row r="25" spans="1:4">
      <c r="A25" s="3">
        <v>0.8</v>
      </c>
      <c r="B25">
        <v>1</v>
      </c>
      <c r="C25">
        <v>144</v>
      </c>
      <c r="D25" t="str">
        <f>IF(GapData[[#This Row],[income]] &lt; 0.3, "Low Income", IF(GapData[[#This Row],[income]] &lt; 0.7, "Mid Income", "High Income"))</f>
        <v>High Income</v>
      </c>
    </row>
    <row r="26" spans="1:4">
      <c r="A26" s="3">
        <v>0.3</v>
      </c>
      <c r="B26">
        <v>1</v>
      </c>
      <c r="C26">
        <v>22</v>
      </c>
      <c r="D26" t="str">
        <f>IF(GapData[[#This Row],[income]] &lt; 0.3, "Low Income", IF(GapData[[#This Row],[income]] &lt; 0.7, "Mid Income", "High Income"))</f>
        <v>Mid Income</v>
      </c>
    </row>
    <row r="27" spans="1:4">
      <c r="A27" s="3">
        <v>0.8</v>
      </c>
      <c r="B27">
        <v>1</v>
      </c>
      <c r="C27">
        <v>81</v>
      </c>
      <c r="D27" t="str">
        <f>IF(GapData[[#This Row],[income]] &lt; 0.3, "Low Income", IF(GapData[[#This Row],[income]] &lt; 0.7, "Mid Income", "High Income"))</f>
        <v>High Income</v>
      </c>
    </row>
    <row r="28" spans="1:4">
      <c r="A28" s="3">
        <v>0.5</v>
      </c>
      <c r="B28">
        <v>1</v>
      </c>
      <c r="C28">
        <v>156</v>
      </c>
      <c r="D28" t="str">
        <f>IF(GapData[[#This Row],[income]] &lt; 0.3, "Low Income", IF(GapData[[#This Row],[income]] &lt; 0.7, "Mid Income", "High Income"))</f>
        <v>Mid Income</v>
      </c>
    </row>
    <row r="29" spans="1:4">
      <c r="A29" s="3">
        <v>0.7</v>
      </c>
      <c r="B29">
        <v>1</v>
      </c>
      <c r="C29">
        <v>148</v>
      </c>
      <c r="D29" t="str">
        <f>IF(GapData[[#This Row],[income]] &lt; 0.3, "Low Income", IF(GapData[[#This Row],[income]] &lt; 0.7, "Mid Income", "High Income"))</f>
        <v>High Income</v>
      </c>
    </row>
    <row r="30" spans="1:4">
      <c r="A30" s="3">
        <v>0.8</v>
      </c>
      <c r="B30">
        <v>1</v>
      </c>
      <c r="C30">
        <v>235</v>
      </c>
      <c r="D30" t="str">
        <f>IF(GapData[[#This Row],[income]] &lt; 0.3, "Low Income", IF(GapData[[#This Row],[income]] &lt; 0.7, "Mid Income", "High Income"))</f>
        <v>High Income</v>
      </c>
    </row>
    <row r="31" spans="1:4">
      <c r="A31" s="3">
        <v>0.3</v>
      </c>
      <c r="B31">
        <v>1</v>
      </c>
      <c r="C31">
        <v>47</v>
      </c>
      <c r="D31" t="str">
        <f>IF(GapData[[#This Row],[income]] &lt; 0.3, "Low Income", IF(GapData[[#This Row],[income]] &lt; 0.7, "Mid Income", "High Income"))</f>
        <v>Mid Income</v>
      </c>
    </row>
    <row r="32" spans="1:4">
      <c r="A32" s="3">
        <v>0.6</v>
      </c>
      <c r="B32">
        <v>1</v>
      </c>
      <c r="C32">
        <v>241</v>
      </c>
      <c r="D32" t="str">
        <f>IF(GapData[[#This Row],[income]] &lt; 0.3, "Low Income", IF(GapData[[#This Row],[income]] &lt; 0.7, "Mid Income", "High Income"))</f>
        <v>Mid Income</v>
      </c>
    </row>
    <row r="33" spans="1:4">
      <c r="A33" s="3">
        <v>0.4</v>
      </c>
      <c r="B33">
        <v>1</v>
      </c>
      <c r="C33">
        <v>178</v>
      </c>
      <c r="D33" t="str">
        <f>IF(GapData[[#This Row],[income]] &lt; 0.3, "Low Income", IF(GapData[[#This Row],[income]] &lt; 0.7, "Mid Income", "High Income"))</f>
        <v>Mid Income</v>
      </c>
    </row>
    <row r="34" spans="1:4">
      <c r="A34" s="3">
        <v>0.9</v>
      </c>
      <c r="B34">
        <v>1</v>
      </c>
      <c r="C34">
        <v>189</v>
      </c>
      <c r="D34" t="str">
        <f>IF(GapData[[#This Row],[income]] &lt; 0.3, "Low Income", IF(GapData[[#This Row],[income]] &lt; 0.7, "Mid Income", "High Income"))</f>
        <v>High Income</v>
      </c>
    </row>
    <row r="35" spans="1:4">
      <c r="A35" s="3">
        <v>0.9</v>
      </c>
      <c r="B35">
        <v>1</v>
      </c>
      <c r="C35">
        <v>214</v>
      </c>
      <c r="D35" t="str">
        <f>IF(GapData[[#This Row],[income]] &lt; 0.3, "Low Income", IF(GapData[[#This Row],[income]] &lt; 0.7, "Mid Income", "High Income"))</f>
        <v>High Income</v>
      </c>
    </row>
    <row r="36" spans="1:4">
      <c r="A36" s="3">
        <v>0.9</v>
      </c>
      <c r="B36">
        <v>1</v>
      </c>
      <c r="C36">
        <v>181</v>
      </c>
      <c r="D36" t="str">
        <f>IF(GapData[[#This Row],[income]] &lt; 0.3, "Low Income", IF(GapData[[#This Row],[income]] &lt; 0.7, "Mid Income", "High Income"))</f>
        <v>High Income</v>
      </c>
    </row>
    <row r="37" spans="1:4">
      <c r="A37" s="3">
        <v>0.9</v>
      </c>
      <c r="B37">
        <v>1</v>
      </c>
      <c r="C37">
        <v>123</v>
      </c>
      <c r="D37" t="str">
        <f>IF(GapData[[#This Row],[income]] &lt; 0.3, "Low Income", IF(GapData[[#This Row],[income]] &lt; 0.7, "Mid Income", "High Income"))</f>
        <v>High Income</v>
      </c>
    </row>
    <row r="38" spans="1:4">
      <c r="A38" s="3">
        <v>0.9</v>
      </c>
      <c r="B38">
        <v>1</v>
      </c>
      <c r="C38">
        <v>192</v>
      </c>
      <c r="D38" t="str">
        <f>IF(GapData[[#This Row],[income]] &lt; 0.3, "Low Income", IF(GapData[[#This Row],[income]] &lt; 0.7, "Mid Income", "High Income"))</f>
        <v>High Income</v>
      </c>
    </row>
    <row r="39" spans="1:4">
      <c r="A39" s="3">
        <v>0.8</v>
      </c>
      <c r="B39">
        <v>1</v>
      </c>
      <c r="C39">
        <v>193</v>
      </c>
      <c r="D39" t="str">
        <f>IF(GapData[[#This Row],[income]] &lt; 0.3, "Low Income", IF(GapData[[#This Row],[income]] &lt; 0.7, "Mid Income", "High Income"))</f>
        <v>High Income</v>
      </c>
    </row>
    <row r="40" spans="1:4">
      <c r="A40" s="3">
        <v>0.6</v>
      </c>
      <c r="B40">
        <v>1</v>
      </c>
      <c r="C40">
        <v>201</v>
      </c>
      <c r="D40" t="str">
        <f>IF(GapData[[#This Row],[income]] &lt; 0.3, "Low Income", IF(GapData[[#This Row],[income]] &lt; 0.7, "Mid Income", "High Income"))</f>
        <v>Mid Income</v>
      </c>
    </row>
    <row r="41" spans="1:4">
      <c r="A41" s="3">
        <v>0.6</v>
      </c>
      <c r="B41">
        <v>1</v>
      </c>
      <c r="C41">
        <v>203</v>
      </c>
      <c r="D41" t="str">
        <f>IF(GapData[[#This Row],[income]] &lt; 0.3, "Low Income", IF(GapData[[#This Row],[income]] &lt; 0.7, "Mid Income", "High Income"))</f>
        <v>Mid Income</v>
      </c>
    </row>
    <row r="42" spans="1:4">
      <c r="A42" s="3">
        <v>0.7</v>
      </c>
      <c r="B42">
        <v>1</v>
      </c>
      <c r="C42">
        <v>142</v>
      </c>
      <c r="D42" t="str">
        <f>IF(GapData[[#This Row],[income]] &lt; 0.3, "Low Income", IF(GapData[[#This Row],[income]] &lt; 0.7, "Mid Income", "High Income"))</f>
        <v>High Income</v>
      </c>
    </row>
    <row r="43" spans="1:4">
      <c r="A43" s="3">
        <v>0.9</v>
      </c>
      <c r="B43">
        <v>1</v>
      </c>
      <c r="C43">
        <v>157</v>
      </c>
      <c r="D43" t="str">
        <f>IF(GapData[[#This Row],[income]] &lt; 0.3, "Low Income", IF(GapData[[#This Row],[income]] &lt; 0.7, "Mid Income", "High Income"))</f>
        <v>High Income</v>
      </c>
    </row>
    <row r="44" spans="1:4">
      <c r="A44" s="3">
        <v>0.2</v>
      </c>
      <c r="B44">
        <v>1</v>
      </c>
      <c r="C44">
        <v>171</v>
      </c>
      <c r="D44" t="str">
        <f>IF(GapData[[#This Row],[income]] &lt; 0.3, "Low Income", IF(GapData[[#This Row],[income]] &lt; 0.7, "Mid Income", "High Income"))</f>
        <v>Low Income</v>
      </c>
    </row>
    <row r="45" spans="1:4">
      <c r="A45" s="3">
        <v>0.9</v>
      </c>
      <c r="B45">
        <v>1</v>
      </c>
      <c r="C45">
        <v>175</v>
      </c>
      <c r="D45" t="str">
        <f>IF(GapData[[#This Row],[income]] &lt; 0.3, "Low Income", IF(GapData[[#This Row],[income]] &lt; 0.7, "Mid Income", "High Income"))</f>
        <v>High Income</v>
      </c>
    </row>
    <row r="46" spans="1:4">
      <c r="A46" s="3">
        <v>0.9</v>
      </c>
      <c r="B46">
        <v>1</v>
      </c>
      <c r="C46">
        <v>129</v>
      </c>
      <c r="D46" t="str">
        <f>IF(GapData[[#This Row],[income]] &lt; 0.3, "Low Income", IF(GapData[[#This Row],[income]] &lt; 0.7, "Mid Income", "High Income"))</f>
        <v>High Income</v>
      </c>
    </row>
    <row r="47" spans="1:4">
      <c r="A47" s="3">
        <v>0.9</v>
      </c>
      <c r="B47">
        <v>1</v>
      </c>
      <c r="C47">
        <v>267</v>
      </c>
      <c r="D47" t="str">
        <f>IF(GapData[[#This Row],[income]] &lt; 0.3, "Low Income", IF(GapData[[#This Row],[income]] &lt; 0.7, "Mid Income", "High Income"))</f>
        <v>High Income</v>
      </c>
    </row>
    <row r="48" spans="1:4">
      <c r="A48" s="3">
        <v>0.2</v>
      </c>
      <c r="B48">
        <v>1</v>
      </c>
      <c r="C48">
        <v>129</v>
      </c>
      <c r="D48" t="str">
        <f>IF(GapData[[#This Row],[income]] &lt; 0.3, "Low Income", IF(GapData[[#This Row],[income]] &lt; 0.7, "Mid Income", "High Income"))</f>
        <v>Low Income</v>
      </c>
    </row>
    <row r="49" spans="1:4">
      <c r="A49" s="3">
        <v>0.9</v>
      </c>
      <c r="B49">
        <v>1</v>
      </c>
      <c r="C49">
        <v>56</v>
      </c>
      <c r="D49" t="str">
        <f>IF(GapData[[#This Row],[income]] &lt; 0.3, "Low Income", IF(GapData[[#This Row],[income]] &lt; 0.7, "Mid Income", "High Income"))</f>
        <v>High Income</v>
      </c>
    </row>
    <row r="50" spans="1:4">
      <c r="A50" s="3">
        <v>0.6</v>
      </c>
      <c r="B50">
        <v>1</v>
      </c>
      <c r="C50">
        <v>158</v>
      </c>
      <c r="D50" t="str">
        <f>IF(GapData[[#This Row],[income]] &lt; 0.3, "Low Income", IF(GapData[[#This Row],[income]] &lt; 0.7, "Mid Income", "High Income"))</f>
        <v>Mid Income</v>
      </c>
    </row>
    <row r="51" spans="1:4">
      <c r="A51" s="3">
        <v>0.9</v>
      </c>
      <c r="B51">
        <v>1</v>
      </c>
      <c r="C51">
        <v>76</v>
      </c>
      <c r="D51" t="str">
        <f>IF(GapData[[#This Row],[income]] &lt; 0.3, "Low Income", IF(GapData[[#This Row],[income]] &lt; 0.7, "Mid Income", "High Income"))</f>
        <v>High Income</v>
      </c>
    </row>
    <row r="52" spans="1:4">
      <c r="A52" s="3">
        <v>0.4</v>
      </c>
      <c r="B52">
        <v>1</v>
      </c>
      <c r="C52">
        <v>83</v>
      </c>
      <c r="D52" t="str">
        <f>IF(GapData[[#This Row],[income]] &lt; 0.3, "Low Income", IF(GapData[[#This Row],[income]] &lt; 0.7, "Mid Income", "High Income"))</f>
        <v>Mid Income</v>
      </c>
    </row>
    <row r="53" spans="1:4">
      <c r="A53" s="3">
        <v>0.4</v>
      </c>
      <c r="B53">
        <v>1</v>
      </c>
      <c r="C53">
        <v>221</v>
      </c>
      <c r="D53" t="str">
        <f>IF(GapData[[#This Row],[income]] &lt; 0.3, "Low Income", IF(GapData[[#This Row],[income]] &lt; 0.7, "Mid Income", "High Income"))</f>
        <v>Mid Income</v>
      </c>
    </row>
    <row r="54" spans="1:4">
      <c r="A54" s="3">
        <v>0.7</v>
      </c>
      <c r="B54">
        <v>1</v>
      </c>
      <c r="C54">
        <v>233</v>
      </c>
      <c r="D54" t="str">
        <f>IF(GapData[[#This Row],[income]] &lt; 0.3, "Low Income", IF(GapData[[#This Row],[income]] &lt; 0.7, "Mid Income", "High Income"))</f>
        <v>High Income</v>
      </c>
    </row>
    <row r="55" spans="1:4">
      <c r="A55" s="3">
        <v>0.9</v>
      </c>
      <c r="B55">
        <v>1</v>
      </c>
      <c r="C55">
        <v>75</v>
      </c>
      <c r="D55" t="str">
        <f>IF(GapData[[#This Row],[income]] &lt; 0.3, "Low Income", IF(GapData[[#This Row],[income]] &lt; 0.7, "Mid Income", "High Income"))</f>
        <v>High Income</v>
      </c>
    </row>
    <row r="56" spans="1:4">
      <c r="A56" s="3">
        <v>0.9</v>
      </c>
      <c r="B56">
        <v>1</v>
      </c>
      <c r="C56">
        <v>246</v>
      </c>
      <c r="D56" t="str">
        <f>IF(GapData[[#This Row],[income]] &lt; 0.3, "Low Income", IF(GapData[[#This Row],[income]] &lt; 0.7, "Mid Income", "High Income"))</f>
        <v>High Income</v>
      </c>
    </row>
    <row r="57" spans="1:4">
      <c r="A57" s="3">
        <v>0.2</v>
      </c>
      <c r="B57">
        <v>1</v>
      </c>
      <c r="C57">
        <v>146</v>
      </c>
      <c r="D57" t="str">
        <f>IF(GapData[[#This Row],[income]] &lt; 0.3, "Low Income", IF(GapData[[#This Row],[income]] &lt; 0.7, "Mid Income", "High Income"))</f>
        <v>Low Income</v>
      </c>
    </row>
    <row r="58" spans="1:4">
      <c r="A58" s="3">
        <v>0.9</v>
      </c>
      <c r="B58">
        <v>1</v>
      </c>
      <c r="C58">
        <v>218</v>
      </c>
      <c r="D58" t="str">
        <f>IF(GapData[[#This Row],[income]] &lt; 0.3, "Low Income", IF(GapData[[#This Row],[income]] &lt; 0.7, "Mid Income", "High Income"))</f>
        <v>High Income</v>
      </c>
    </row>
    <row r="59" spans="1:4">
      <c r="A59" s="3">
        <v>0.5</v>
      </c>
      <c r="B59">
        <v>1</v>
      </c>
      <c r="C59">
        <v>160</v>
      </c>
      <c r="D59" t="str">
        <f>IF(GapData[[#This Row],[income]] &lt; 0.3, "Low Income", IF(GapData[[#This Row],[income]] &lt; 0.7, "Mid Income", "High Income"))</f>
        <v>Mid Income</v>
      </c>
    </row>
    <row r="60" spans="1:4">
      <c r="A60" s="3">
        <v>0.5</v>
      </c>
      <c r="B60">
        <v>1</v>
      </c>
      <c r="C60">
        <v>275</v>
      </c>
      <c r="D60" t="str">
        <f>IF(GapData[[#This Row],[income]] &lt; 0.3, "Low Income", IF(GapData[[#This Row],[income]] &lt; 0.7, "Mid Income", "High Income"))</f>
        <v>Mid Income</v>
      </c>
    </row>
    <row r="61" spans="1:4">
      <c r="A61" s="3">
        <v>0.9</v>
      </c>
      <c r="B61">
        <v>1</v>
      </c>
      <c r="C61">
        <v>286</v>
      </c>
      <c r="D61" t="str">
        <f>IF(GapData[[#This Row],[income]] &lt; 0.3, "Low Income", IF(GapData[[#This Row],[income]] &lt; 0.7, "Mid Income", "High Income"))</f>
        <v>High Income</v>
      </c>
    </row>
    <row r="62" spans="1:4">
      <c r="A62" s="3">
        <v>0.9</v>
      </c>
      <c r="B62">
        <v>1</v>
      </c>
      <c r="C62">
        <v>196</v>
      </c>
      <c r="D62" t="str">
        <f>IF(GapData[[#This Row],[income]] &lt; 0.3, "Low Income", IF(GapData[[#This Row],[income]] &lt; 0.7, "Mid Income", "High Income"))</f>
        <v>High Income</v>
      </c>
    </row>
    <row r="63" spans="1:4">
      <c r="A63" s="3">
        <v>0.1</v>
      </c>
      <c r="B63">
        <v>1</v>
      </c>
      <c r="C63">
        <v>193</v>
      </c>
      <c r="D63" t="str">
        <f>IF(GapData[[#This Row],[income]] &lt; 0.3, "Low Income", IF(GapData[[#This Row],[income]] &lt; 0.7, "Mid Income", "High Income"))</f>
        <v>Low Income</v>
      </c>
    </row>
    <row r="64" spans="1:4">
      <c r="A64" s="3">
        <v>0.8</v>
      </c>
      <c r="B64">
        <v>1</v>
      </c>
      <c r="C64">
        <v>181</v>
      </c>
      <c r="D64" t="str">
        <f>IF(GapData[[#This Row],[income]] &lt; 0.3, "Low Income", IF(GapData[[#This Row],[income]] &lt; 0.7, "Mid Income", "High Income"))</f>
        <v>High Income</v>
      </c>
    </row>
    <row r="65" spans="1:4">
      <c r="A65" s="3">
        <v>0.8</v>
      </c>
      <c r="B65">
        <v>1</v>
      </c>
      <c r="C65">
        <v>171</v>
      </c>
      <c r="D65" t="str">
        <f>IF(GapData[[#This Row],[income]] &lt; 0.3, "Low Income", IF(GapData[[#This Row],[income]] &lt; 0.7, "Mid Income", "High Income"))</f>
        <v>High Income</v>
      </c>
    </row>
    <row r="66" spans="1:4">
      <c r="A66" s="3">
        <v>0.8</v>
      </c>
      <c r="B66">
        <v>1</v>
      </c>
      <c r="C66">
        <v>79</v>
      </c>
      <c r="D66" t="str">
        <f>IF(GapData[[#This Row],[income]] &lt; 0.3, "Low Income", IF(GapData[[#This Row],[income]] &lt; 0.7, "Mid Income", "High Income"))</f>
        <v>High Income</v>
      </c>
    </row>
    <row r="67" spans="1:4">
      <c r="A67" s="3">
        <v>0.6</v>
      </c>
      <c r="B67">
        <v>1</v>
      </c>
      <c r="C67">
        <v>118</v>
      </c>
      <c r="D67" t="str">
        <f>IF(GapData[[#This Row],[income]] &lt; 0.3, "Low Income", IF(GapData[[#This Row],[income]] &lt; 0.7, "Mid Income", "High Income"))</f>
        <v>Mid Income</v>
      </c>
    </row>
    <row r="68" spans="1:4">
      <c r="A68" s="3">
        <v>0.9</v>
      </c>
      <c r="B68">
        <v>1</v>
      </c>
      <c r="C68">
        <v>288</v>
      </c>
      <c r="D68" t="str">
        <f>IF(GapData[[#This Row],[income]] &lt; 0.3, "Low Income", IF(GapData[[#This Row],[income]] &lt; 0.7, "Mid Income", "High Income"))</f>
        <v>High Income</v>
      </c>
    </row>
    <row r="69" spans="1:4">
      <c r="A69" s="3">
        <v>0.1</v>
      </c>
      <c r="B69">
        <v>1</v>
      </c>
      <c r="C69">
        <v>171</v>
      </c>
      <c r="D69" t="str">
        <f>IF(GapData[[#This Row],[income]] &lt; 0.3, "Low Income", IF(GapData[[#This Row],[income]] &lt; 0.7, "Mid Income", "High Income"))</f>
        <v>Low Income</v>
      </c>
    </row>
    <row r="70" spans="1:4">
      <c r="A70" s="3">
        <v>0.9</v>
      </c>
      <c r="B70">
        <v>1</v>
      </c>
      <c r="C70">
        <v>283</v>
      </c>
      <c r="D70" t="str">
        <f>IF(GapData[[#This Row],[income]] &lt; 0.3, "Low Income", IF(GapData[[#This Row],[income]] &lt; 0.7, "Mid Income", "High Income"))</f>
        <v>High Income</v>
      </c>
    </row>
    <row r="71" spans="1:4">
      <c r="A71" s="3">
        <v>0.6</v>
      </c>
      <c r="B71">
        <v>1</v>
      </c>
      <c r="C71">
        <v>162</v>
      </c>
      <c r="D71" t="str">
        <f>IF(GapData[[#This Row],[income]] &lt; 0.3, "Low Income", IF(GapData[[#This Row],[income]] &lt; 0.7, "Mid Income", "High Income"))</f>
        <v>Mid Income</v>
      </c>
    </row>
    <row r="72" spans="1:4">
      <c r="A72" s="3">
        <v>0.9</v>
      </c>
      <c r="B72">
        <v>1</v>
      </c>
      <c r="C72">
        <v>224</v>
      </c>
      <c r="D72" t="str">
        <f>IF(GapData[[#This Row],[income]] &lt; 0.3, "Low Income", IF(GapData[[#This Row],[income]] &lt; 0.7, "Mid Income", "High Income"))</f>
        <v>High Income</v>
      </c>
    </row>
    <row r="73" spans="1:4">
      <c r="A73" s="3">
        <v>0.9</v>
      </c>
      <c r="B73">
        <v>1</v>
      </c>
      <c r="C73">
        <v>211</v>
      </c>
      <c r="D73" t="str">
        <f>IF(GapData[[#This Row],[income]] &lt; 0.3, "Low Income", IF(GapData[[#This Row],[income]] &lt; 0.7, "Mid Income", "High Income"))</f>
        <v>High Income</v>
      </c>
    </row>
    <row r="74" spans="1:4">
      <c r="A74" s="3">
        <v>0.8</v>
      </c>
      <c r="B74">
        <v>1</v>
      </c>
      <c r="C74">
        <v>112</v>
      </c>
      <c r="D74" t="str">
        <f>IF(GapData[[#This Row],[income]] &lt; 0.3, "Low Income", IF(GapData[[#This Row],[income]] &lt; 0.7, "Mid Income", "High Income"))</f>
        <v>High Income</v>
      </c>
    </row>
    <row r="75" spans="1:4">
      <c r="A75" s="3">
        <v>0.6</v>
      </c>
      <c r="B75">
        <v>1</v>
      </c>
      <c r="C75">
        <v>236</v>
      </c>
      <c r="D75" t="str">
        <f>IF(GapData[[#This Row],[income]] &lt; 0.3, "Low Income", IF(GapData[[#This Row],[income]] &lt; 0.7, "Mid Income", "High Income"))</f>
        <v>Mid Income</v>
      </c>
    </row>
    <row r="76" spans="1:4">
      <c r="A76" s="3">
        <v>0.8</v>
      </c>
      <c r="B76">
        <v>1</v>
      </c>
      <c r="C76">
        <v>96</v>
      </c>
      <c r="D76" t="str">
        <f>IF(GapData[[#This Row],[income]] &lt; 0.3, "Low Income", IF(GapData[[#This Row],[income]] &lt; 0.7, "Mid Income", "High Income"))</f>
        <v>High Income</v>
      </c>
    </row>
    <row r="77" spans="1:4">
      <c r="A77" s="3">
        <v>0.9</v>
      </c>
      <c r="B77">
        <v>1</v>
      </c>
      <c r="C77">
        <v>106</v>
      </c>
      <c r="D77" t="str">
        <f>IF(GapData[[#This Row],[income]] &lt; 0.3, "Low Income", IF(GapData[[#This Row],[income]] &lt; 0.7, "Mid Income", "High Income"))</f>
        <v>High Income</v>
      </c>
    </row>
    <row r="78" spans="1:4">
      <c r="A78" s="3">
        <v>0.2</v>
      </c>
      <c r="B78">
        <v>1</v>
      </c>
      <c r="C78">
        <v>49</v>
      </c>
      <c r="D78" t="str">
        <f>IF(GapData[[#This Row],[income]] &lt; 0.3, "Low Income", IF(GapData[[#This Row],[income]] &lt; 0.7, "Mid Income", "High Income"))</f>
        <v>Low Income</v>
      </c>
    </row>
    <row r="79" spans="1:4">
      <c r="A79" s="3">
        <v>0.7</v>
      </c>
      <c r="B79">
        <v>1</v>
      </c>
      <c r="C79">
        <v>242</v>
      </c>
      <c r="D79" t="str">
        <f>IF(GapData[[#This Row],[income]] &lt; 0.3, "Low Income", IF(GapData[[#This Row],[income]] &lt; 0.7, "Mid Income", "High Income"))</f>
        <v>High Income</v>
      </c>
    </row>
    <row r="80" spans="1:4">
      <c r="A80" s="3">
        <v>0.9</v>
      </c>
      <c r="B80">
        <v>1</v>
      </c>
      <c r="C80">
        <v>248</v>
      </c>
      <c r="D80" t="str">
        <f>IF(GapData[[#This Row],[income]] &lt; 0.3, "Low Income", IF(GapData[[#This Row],[income]] &lt; 0.7, "Mid Income", "High Income"))</f>
        <v>High Income</v>
      </c>
    </row>
    <row r="81" spans="1:4">
      <c r="A81" s="3">
        <v>0.8</v>
      </c>
      <c r="B81">
        <v>1</v>
      </c>
      <c r="C81">
        <v>134</v>
      </c>
      <c r="D81" t="str">
        <f>IF(GapData[[#This Row],[income]] &lt; 0.3, "Low Income", IF(GapData[[#This Row],[income]] &lt; 0.7, "Mid Income", "High Income"))</f>
        <v>High Income</v>
      </c>
    </row>
    <row r="82" spans="1:4">
      <c r="A82" s="3">
        <v>0.3</v>
      </c>
      <c r="B82">
        <v>1</v>
      </c>
      <c r="C82">
        <v>122</v>
      </c>
      <c r="D82" t="str">
        <f>IF(GapData[[#This Row],[income]] &lt; 0.3, "Low Income", IF(GapData[[#This Row],[income]] &lt; 0.7, "Mid Income", "High Income"))</f>
        <v>Mid Income</v>
      </c>
    </row>
    <row r="83" spans="1:4">
      <c r="A83" s="3">
        <v>0.1</v>
      </c>
      <c r="B83">
        <v>1</v>
      </c>
      <c r="C83">
        <v>262</v>
      </c>
      <c r="D83" t="str">
        <f>IF(GapData[[#This Row],[income]] &lt; 0.3, "Low Income", IF(GapData[[#This Row],[income]] &lt; 0.7, "Mid Income", "High Income"))</f>
        <v>Low Income</v>
      </c>
    </row>
    <row r="84" spans="1:4">
      <c r="A84" s="3">
        <v>0.7</v>
      </c>
      <c r="B84">
        <v>1</v>
      </c>
      <c r="C84">
        <v>190</v>
      </c>
      <c r="D84" t="str">
        <f>IF(GapData[[#This Row],[income]] &lt; 0.3, "Low Income", IF(GapData[[#This Row],[income]] &lt; 0.7, "Mid Income", "High Income"))</f>
        <v>High Income</v>
      </c>
    </row>
    <row r="85" spans="1:4">
      <c r="A85" s="3">
        <v>0.9</v>
      </c>
      <c r="B85">
        <v>1</v>
      </c>
      <c r="C85">
        <v>291</v>
      </c>
      <c r="D85" t="str">
        <f>IF(GapData[[#This Row],[income]] &lt; 0.3, "Low Income", IF(GapData[[#This Row],[income]] &lt; 0.7, "Mid Income", "High Income"))</f>
        <v>High Income</v>
      </c>
    </row>
    <row r="86" spans="1:4">
      <c r="A86" s="3">
        <v>0.9</v>
      </c>
      <c r="B86">
        <v>1</v>
      </c>
      <c r="C86">
        <v>180</v>
      </c>
      <c r="D86" t="str">
        <f>IF(GapData[[#This Row],[income]] &lt; 0.3, "Low Income", IF(GapData[[#This Row],[income]] &lt; 0.7, "Mid Income", "High Income"))</f>
        <v>High Income</v>
      </c>
    </row>
    <row r="87" spans="1:4">
      <c r="A87" s="3">
        <v>0.1</v>
      </c>
      <c r="B87">
        <v>1</v>
      </c>
      <c r="C87">
        <v>108</v>
      </c>
      <c r="D87" t="str">
        <f>IF(GapData[[#This Row],[income]] &lt; 0.3, "Low Income", IF(GapData[[#This Row],[income]] &lt; 0.7, "Mid Income", "High Income"))</f>
        <v>Low Income</v>
      </c>
    </row>
    <row r="88" spans="1:4">
      <c r="A88" s="3">
        <v>0.1</v>
      </c>
      <c r="B88">
        <v>1</v>
      </c>
      <c r="C88">
        <v>70</v>
      </c>
      <c r="D88" t="str">
        <f>IF(GapData[[#This Row],[income]] &lt; 0.3, "Low Income", IF(GapData[[#This Row],[income]] &lt; 0.7, "Mid Income", "High Income"))</f>
        <v>Low Income</v>
      </c>
    </row>
    <row r="89" spans="1:4">
      <c r="A89" s="3">
        <v>0.9</v>
      </c>
      <c r="B89">
        <v>1</v>
      </c>
      <c r="C89">
        <v>299</v>
      </c>
      <c r="D89" t="str">
        <f>IF(GapData[[#This Row],[income]] &lt; 0.3, "Low Income", IF(GapData[[#This Row],[income]] &lt; 0.7, "Mid Income", "High Income"))</f>
        <v>High Income</v>
      </c>
    </row>
    <row r="90" spans="1:4">
      <c r="A90" s="3">
        <v>0.9</v>
      </c>
      <c r="B90">
        <v>1</v>
      </c>
      <c r="C90">
        <v>147</v>
      </c>
      <c r="D90" t="str">
        <f>IF(GapData[[#This Row],[income]] &lt; 0.3, "Low Income", IF(GapData[[#This Row],[income]] &lt; 0.7, "Mid Income", "High Income"))</f>
        <v>High Income</v>
      </c>
    </row>
    <row r="91" spans="1:4">
      <c r="A91" s="3">
        <v>0.9</v>
      </c>
      <c r="B91">
        <v>1</v>
      </c>
      <c r="C91">
        <v>212</v>
      </c>
      <c r="D91" t="str">
        <f>IF(GapData[[#This Row],[income]] &lt; 0.3, "Low Income", IF(GapData[[#This Row],[income]] &lt; 0.7, "Mid Income", "High Income"))</f>
        <v>High Income</v>
      </c>
    </row>
    <row r="92" spans="1:4">
      <c r="A92" s="3">
        <v>0.4</v>
      </c>
      <c r="B92">
        <v>1</v>
      </c>
      <c r="C92">
        <v>212</v>
      </c>
      <c r="D92" t="str">
        <f>IF(GapData[[#This Row],[income]] &lt; 0.3, "Low Income", IF(GapData[[#This Row],[income]] &lt; 0.7, "Mid Income", "High Income"))</f>
        <v>Mid Income</v>
      </c>
    </row>
    <row r="93" spans="1:4">
      <c r="A93" s="3">
        <v>0.8</v>
      </c>
      <c r="B93">
        <v>1</v>
      </c>
      <c r="C93">
        <v>8</v>
      </c>
      <c r="D93" t="str">
        <f>IF(GapData[[#This Row],[income]] &lt; 0.3, "Low Income", IF(GapData[[#This Row],[income]] &lt; 0.7, "Mid Income", "High Income"))</f>
        <v>High Income</v>
      </c>
    </row>
    <row r="94" spans="1:4">
      <c r="A94" s="3">
        <v>0.9</v>
      </c>
      <c r="B94">
        <v>1</v>
      </c>
      <c r="C94">
        <v>218</v>
      </c>
      <c r="D94" t="str">
        <f>IF(GapData[[#This Row],[income]] &lt; 0.3, "Low Income", IF(GapData[[#This Row],[income]] &lt; 0.7, "Mid Income", "High Income"))</f>
        <v>High Income</v>
      </c>
    </row>
    <row r="95" spans="1:4">
      <c r="A95" s="3">
        <v>0.6</v>
      </c>
      <c r="B95">
        <v>1</v>
      </c>
      <c r="C95">
        <v>129</v>
      </c>
      <c r="D95" t="str">
        <f>IF(GapData[[#This Row],[income]] &lt; 0.3, "Low Income", IF(GapData[[#This Row],[income]] &lt; 0.7, "Mid Income", "High Income"))</f>
        <v>Mid Income</v>
      </c>
    </row>
    <row r="96" spans="1:4">
      <c r="A96" s="3">
        <v>0.6</v>
      </c>
      <c r="B96">
        <v>1</v>
      </c>
      <c r="C96">
        <v>109</v>
      </c>
      <c r="D96" t="str">
        <f>IF(GapData[[#This Row],[income]] &lt; 0.3, "Low Income", IF(GapData[[#This Row],[income]] &lt; 0.7, "Mid Income", "High Income"))</f>
        <v>Mid Income</v>
      </c>
    </row>
    <row r="97" spans="1:4">
      <c r="A97" s="3">
        <v>0.9</v>
      </c>
      <c r="B97">
        <v>1</v>
      </c>
      <c r="C97">
        <v>95</v>
      </c>
      <c r="D97" t="str">
        <f>IF(GapData[[#This Row],[income]] &lt; 0.3, "Low Income", IF(GapData[[#This Row],[income]] &lt; 0.7, "Mid Income", "High Income"))</f>
        <v>High Income</v>
      </c>
    </row>
    <row r="98" spans="1:4">
      <c r="A98" s="3">
        <v>0.2</v>
      </c>
      <c r="B98">
        <v>1</v>
      </c>
      <c r="C98">
        <v>78</v>
      </c>
      <c r="D98" t="str">
        <f>IF(GapData[[#This Row],[income]] &lt; 0.3, "Low Income", IF(GapData[[#This Row],[income]] &lt; 0.7, "Mid Income", "High Income"))</f>
        <v>Low Income</v>
      </c>
    </row>
    <row r="99" spans="1:4">
      <c r="A99" s="3">
        <v>0.8</v>
      </c>
      <c r="B99">
        <v>1</v>
      </c>
      <c r="C99">
        <v>80</v>
      </c>
      <c r="D99" t="str">
        <f>IF(GapData[[#This Row],[income]] &lt; 0.3, "Low Income", IF(GapData[[#This Row],[income]] &lt; 0.7, "Mid Income", "High Income"))</f>
        <v>High Income</v>
      </c>
    </row>
    <row r="100" spans="1:4">
      <c r="A100" s="3">
        <v>0.9</v>
      </c>
      <c r="B100">
        <v>1</v>
      </c>
      <c r="C100">
        <v>246</v>
      </c>
      <c r="D100" t="str">
        <f>IF(GapData[[#This Row],[income]] &lt; 0.3, "Low Income", IF(GapData[[#This Row],[income]] &lt; 0.7, "Mid Income", "High Income"))</f>
        <v>High Income</v>
      </c>
    </row>
    <row r="101" spans="1:4">
      <c r="A101" s="3">
        <v>0.9</v>
      </c>
      <c r="B101">
        <v>1</v>
      </c>
      <c r="C101">
        <v>144</v>
      </c>
      <c r="D101" t="str">
        <f>IF(GapData[[#This Row],[income]] &lt; 0.3, "Low Income", IF(GapData[[#This Row],[income]] &lt; 0.7, "Mid Income", "High Income"))</f>
        <v>High Income</v>
      </c>
    </row>
    <row r="102" spans="1:4">
      <c r="A102" s="3">
        <v>0.9</v>
      </c>
      <c r="B102">
        <v>1</v>
      </c>
      <c r="C102">
        <v>247</v>
      </c>
      <c r="D102" t="str">
        <f>IF(GapData[[#This Row],[income]] &lt; 0.3, "Low Income", IF(GapData[[#This Row],[income]] &lt; 0.7, "Mid Income", "High Income"))</f>
        <v>High Income</v>
      </c>
    </row>
    <row r="103" spans="1:4">
      <c r="A103" s="3">
        <v>0.4</v>
      </c>
      <c r="B103">
        <v>1</v>
      </c>
      <c r="C103">
        <v>47</v>
      </c>
      <c r="D103" t="str">
        <f>IF(GapData[[#This Row],[income]] &lt; 0.3, "Low Income", IF(GapData[[#This Row],[income]] &lt; 0.7, "Mid Income", "High Income"))</f>
        <v>Mid Income</v>
      </c>
    </row>
    <row r="104" spans="1:4">
      <c r="A104" s="3">
        <v>0.9</v>
      </c>
      <c r="B104">
        <v>1</v>
      </c>
      <c r="C104">
        <v>193</v>
      </c>
      <c r="D104" t="str">
        <f>IF(GapData[[#This Row],[income]] &lt; 0.3, "Low Income", IF(GapData[[#This Row],[income]] &lt; 0.7, "Mid Income", "High Income"))</f>
        <v>High Income</v>
      </c>
    </row>
    <row r="105" spans="1:4">
      <c r="A105" s="3">
        <v>0.2</v>
      </c>
      <c r="B105">
        <v>1</v>
      </c>
      <c r="C105">
        <v>20</v>
      </c>
      <c r="D105" t="str">
        <f>IF(GapData[[#This Row],[income]] &lt; 0.3, "Low Income", IF(GapData[[#This Row],[income]] &lt; 0.7, "Mid Income", "High Income"))</f>
        <v>Low Income</v>
      </c>
    </row>
    <row r="106" spans="1:4">
      <c r="A106" s="3">
        <v>0.9</v>
      </c>
      <c r="B106">
        <v>1</v>
      </c>
      <c r="C106">
        <v>44</v>
      </c>
      <c r="D106" t="str">
        <f>IF(GapData[[#This Row],[income]] &lt; 0.3, "Low Income", IF(GapData[[#This Row],[income]] &lt; 0.7, "Mid Income", "High Income"))</f>
        <v>High Income</v>
      </c>
    </row>
    <row r="107" spans="1:4">
      <c r="A107" s="3">
        <v>0.3</v>
      </c>
      <c r="B107">
        <v>1</v>
      </c>
      <c r="C107">
        <v>174</v>
      </c>
      <c r="D107" t="str">
        <f>IF(GapData[[#This Row],[income]] &lt; 0.3, "Low Income", IF(GapData[[#This Row],[income]] &lt; 0.7, "Mid Income", "High Income"))</f>
        <v>Mid Income</v>
      </c>
    </row>
    <row r="108" spans="1:4">
      <c r="A108" s="3">
        <v>0.8</v>
      </c>
      <c r="B108">
        <v>1</v>
      </c>
      <c r="C108">
        <v>210</v>
      </c>
      <c r="D108" t="str">
        <f>IF(GapData[[#This Row],[income]] &lt; 0.3, "Low Income", IF(GapData[[#This Row],[income]] &lt; 0.7, "Mid Income", "High Income"))</f>
        <v>High Income</v>
      </c>
    </row>
    <row r="109" spans="1:4">
      <c r="A109" s="3">
        <v>0.8</v>
      </c>
      <c r="B109">
        <v>1</v>
      </c>
      <c r="C109">
        <v>47</v>
      </c>
      <c r="D109" t="str">
        <f>IF(GapData[[#This Row],[income]] &lt; 0.3, "Low Income", IF(GapData[[#This Row],[income]] &lt; 0.7, "Mid Income", "High Income"))</f>
        <v>High Income</v>
      </c>
    </row>
    <row r="110" spans="1:4">
      <c r="A110" s="3">
        <v>0.4</v>
      </c>
      <c r="B110">
        <v>1</v>
      </c>
      <c r="C110">
        <v>47</v>
      </c>
      <c r="D110" t="str">
        <f>IF(GapData[[#This Row],[income]] &lt; 0.3, "Low Income", IF(GapData[[#This Row],[income]] &lt; 0.7, "Mid Income", "High Income"))</f>
        <v>Mid Income</v>
      </c>
    </row>
    <row r="111" spans="1:4">
      <c r="A111" s="3">
        <v>0.9</v>
      </c>
      <c r="B111">
        <v>1</v>
      </c>
      <c r="C111">
        <v>291</v>
      </c>
      <c r="D111" t="str">
        <f>IF(GapData[[#This Row],[income]] &lt; 0.3, "Low Income", IF(GapData[[#This Row],[income]] &lt; 0.7, "Mid Income", "High Income"))</f>
        <v>High Income</v>
      </c>
    </row>
    <row r="112" spans="1:4">
      <c r="A112" s="3">
        <v>0.9</v>
      </c>
      <c r="B112">
        <v>1</v>
      </c>
      <c r="C112">
        <v>169</v>
      </c>
      <c r="D112" t="str">
        <f>IF(GapData[[#This Row],[income]] &lt; 0.3, "Low Income", IF(GapData[[#This Row],[income]] &lt; 0.7, "Mid Income", "High Income"))</f>
        <v>High Income</v>
      </c>
    </row>
    <row r="113" spans="1:4">
      <c r="A113" s="3">
        <v>0.6</v>
      </c>
      <c r="B113">
        <v>1</v>
      </c>
      <c r="C113">
        <v>154</v>
      </c>
      <c r="D113" t="str">
        <f>IF(GapData[[#This Row],[income]] &lt; 0.3, "Low Income", IF(GapData[[#This Row],[income]] &lt; 0.7, "Mid Income", "High Income"))</f>
        <v>Mid Income</v>
      </c>
    </row>
    <row r="114" spans="1:4">
      <c r="A114" s="3">
        <v>0.9</v>
      </c>
      <c r="B114">
        <v>1</v>
      </c>
      <c r="C114">
        <v>102</v>
      </c>
      <c r="D114" t="str">
        <f>IF(GapData[[#This Row],[income]] &lt; 0.3, "Low Income", IF(GapData[[#This Row],[income]] &lt; 0.7, "Mid Income", "High Income"))</f>
        <v>High Income</v>
      </c>
    </row>
    <row r="115" spans="1:4">
      <c r="A115" s="3">
        <v>0.5</v>
      </c>
      <c r="B115">
        <v>1</v>
      </c>
      <c r="C115">
        <v>87</v>
      </c>
      <c r="D115" t="str">
        <f>IF(GapData[[#This Row],[income]] &lt; 0.3, "Low Income", IF(GapData[[#This Row],[income]] &lt; 0.7, "Mid Income", "High Income"))</f>
        <v>Mid Income</v>
      </c>
    </row>
    <row r="116" spans="1:4">
      <c r="A116" s="3">
        <v>0.6</v>
      </c>
      <c r="B116">
        <v>1</v>
      </c>
      <c r="C116">
        <v>112</v>
      </c>
      <c r="D116" t="str">
        <f>IF(GapData[[#This Row],[income]] &lt; 0.3, "Low Income", IF(GapData[[#This Row],[income]] &lt; 0.7, "Mid Income", "High Income"))</f>
        <v>Mid Income</v>
      </c>
    </row>
    <row r="117" spans="1:4">
      <c r="A117" s="3">
        <v>0.9</v>
      </c>
      <c r="B117">
        <v>1</v>
      </c>
      <c r="C117">
        <v>63</v>
      </c>
      <c r="D117" t="str">
        <f>IF(GapData[[#This Row],[income]] &lt; 0.3, "Low Income", IF(GapData[[#This Row],[income]] &lt; 0.7, "Mid Income", "High Income"))</f>
        <v>High Income</v>
      </c>
    </row>
    <row r="118" spans="1:4">
      <c r="A118" s="3">
        <v>0.6</v>
      </c>
      <c r="B118">
        <v>1</v>
      </c>
      <c r="C118">
        <v>156</v>
      </c>
      <c r="D118" t="str">
        <f>IF(GapData[[#This Row],[income]] &lt; 0.3, "Low Income", IF(GapData[[#This Row],[income]] &lt; 0.7, "Mid Income", "High Income"))</f>
        <v>Mid Income</v>
      </c>
    </row>
    <row r="119" spans="1:4">
      <c r="A119" s="3">
        <v>0.9</v>
      </c>
      <c r="B119">
        <v>1</v>
      </c>
      <c r="C119">
        <v>158</v>
      </c>
      <c r="D119" t="str">
        <f>IF(GapData[[#This Row],[income]] &lt; 0.3, "Low Income", IF(GapData[[#This Row],[income]] &lt; 0.7, "Mid Income", "High Income"))</f>
        <v>High Income</v>
      </c>
    </row>
    <row r="120" spans="1:4">
      <c r="A120" s="3">
        <v>0.9</v>
      </c>
      <c r="B120">
        <v>1</v>
      </c>
      <c r="C120">
        <v>161</v>
      </c>
      <c r="D120" t="str">
        <f>IF(GapData[[#This Row],[income]] &lt; 0.3, "Low Income", IF(GapData[[#This Row],[income]] &lt; 0.7, "Mid Income", "High Income"))</f>
        <v>High Income</v>
      </c>
    </row>
    <row r="121" spans="1:4">
      <c r="A121" s="3">
        <v>0.9</v>
      </c>
      <c r="B121">
        <v>1</v>
      </c>
      <c r="C121">
        <v>253</v>
      </c>
      <c r="D121" t="str">
        <f>IF(GapData[[#This Row],[income]] &lt; 0.3, "Low Income", IF(GapData[[#This Row],[income]] &lt; 0.7, "Mid Income", "High Income"))</f>
        <v>High Income</v>
      </c>
    </row>
    <row r="122" spans="1:4">
      <c r="A122" s="3">
        <v>0.8</v>
      </c>
      <c r="B122">
        <v>1</v>
      </c>
      <c r="C122">
        <v>52</v>
      </c>
      <c r="D122" t="str">
        <f>IF(GapData[[#This Row],[income]] &lt; 0.3, "Low Income", IF(GapData[[#This Row],[income]] &lt; 0.7, "Mid Income", "High Income"))</f>
        <v>High Income</v>
      </c>
    </row>
    <row r="123" spans="1:4">
      <c r="A123" s="3">
        <v>0.8</v>
      </c>
      <c r="B123">
        <v>1</v>
      </c>
      <c r="C123">
        <v>248</v>
      </c>
      <c r="D123" t="str">
        <f>IF(GapData[[#This Row],[income]] &lt; 0.3, "Low Income", IF(GapData[[#This Row],[income]] &lt; 0.7, "Mid Income", "High Income"))</f>
        <v>High Income</v>
      </c>
    </row>
    <row r="124" spans="1:4">
      <c r="A124" s="3">
        <v>0.5</v>
      </c>
      <c r="B124">
        <v>1</v>
      </c>
      <c r="C124">
        <v>63</v>
      </c>
      <c r="D124" t="str">
        <f>IF(GapData[[#This Row],[income]] &lt; 0.3, "Low Income", IF(GapData[[#This Row],[income]] &lt; 0.7, "Mid Income", "High Income"))</f>
        <v>Mid Income</v>
      </c>
    </row>
    <row r="125" spans="1:4">
      <c r="A125" s="3">
        <v>0.6</v>
      </c>
      <c r="B125">
        <v>1</v>
      </c>
      <c r="C125">
        <v>70</v>
      </c>
      <c r="D125" t="str">
        <f>IF(GapData[[#This Row],[income]] &lt; 0.3, "Low Income", IF(GapData[[#This Row],[income]] &lt; 0.7, "Mid Income", "High Income"))</f>
        <v>Mid Income</v>
      </c>
    </row>
    <row r="126" spans="1:4">
      <c r="A126" s="3">
        <v>0.5</v>
      </c>
      <c r="B126">
        <v>1</v>
      </c>
      <c r="C126">
        <v>278</v>
      </c>
      <c r="D126" t="str">
        <f>IF(GapData[[#This Row],[income]] &lt; 0.3, "Low Income", IF(GapData[[#This Row],[income]] &lt; 0.7, "Mid Income", "High Income"))</f>
        <v>Mid Income</v>
      </c>
    </row>
    <row r="127" spans="1:4">
      <c r="A127" s="3">
        <v>0.8</v>
      </c>
      <c r="B127">
        <v>1</v>
      </c>
      <c r="C127">
        <v>112</v>
      </c>
      <c r="D127" t="str">
        <f>IF(GapData[[#This Row],[income]] &lt; 0.3, "Low Income", IF(GapData[[#This Row],[income]] &lt; 0.7, "Mid Income", "High Income"))</f>
        <v>High Income</v>
      </c>
    </row>
    <row r="128" spans="1:4">
      <c r="A128" s="3">
        <v>0.1</v>
      </c>
      <c r="B128">
        <v>1</v>
      </c>
      <c r="C128">
        <v>107</v>
      </c>
      <c r="D128" t="str">
        <f>IF(GapData[[#This Row],[income]] &lt; 0.3, "Low Income", IF(GapData[[#This Row],[income]] &lt; 0.7, "Mid Income", "High Income"))</f>
        <v>Low Income</v>
      </c>
    </row>
    <row r="129" spans="1:4">
      <c r="A129" s="3">
        <v>0.7</v>
      </c>
      <c r="B129">
        <v>1</v>
      </c>
      <c r="C129">
        <v>148</v>
      </c>
      <c r="D129" t="str">
        <f>IF(GapData[[#This Row],[income]] &lt; 0.3, "Low Income", IF(GapData[[#This Row],[income]] &lt; 0.7, "Mid Income", "High Income"))</f>
        <v>High Income</v>
      </c>
    </row>
    <row r="130" spans="1:4">
      <c r="A130" s="3">
        <v>0.9</v>
      </c>
      <c r="B130">
        <v>1</v>
      </c>
      <c r="C130">
        <v>273</v>
      </c>
      <c r="D130" t="str">
        <f>IF(GapData[[#This Row],[income]] &lt; 0.3, "Low Income", IF(GapData[[#This Row],[income]] &lt; 0.7, "Mid Income", "High Income"))</f>
        <v>High Income</v>
      </c>
    </row>
    <row r="131" spans="1:4">
      <c r="A131" s="3">
        <v>0.7</v>
      </c>
      <c r="B131">
        <v>1</v>
      </c>
      <c r="C131">
        <v>295</v>
      </c>
      <c r="D131" t="str">
        <f>IF(GapData[[#This Row],[income]] &lt; 0.3, "Low Income", IF(GapData[[#This Row],[income]] &lt; 0.7, "Mid Income", "High Income"))</f>
        <v>High Income</v>
      </c>
    </row>
    <row r="132" spans="1:4">
      <c r="A132" s="3">
        <v>0.9</v>
      </c>
      <c r="B132">
        <v>1</v>
      </c>
      <c r="C132">
        <v>82</v>
      </c>
      <c r="D132" t="str">
        <f>IF(GapData[[#This Row],[income]] &lt; 0.3, "Low Income", IF(GapData[[#This Row],[income]] &lt; 0.7, "Mid Income", "High Income"))</f>
        <v>High Income</v>
      </c>
    </row>
    <row r="133" spans="1:4">
      <c r="A133" s="3">
        <v>0.7</v>
      </c>
      <c r="B133">
        <v>1</v>
      </c>
      <c r="C133">
        <v>55</v>
      </c>
      <c r="D133" t="str">
        <f>IF(GapData[[#This Row],[income]] &lt; 0.3, "Low Income", IF(GapData[[#This Row],[income]] &lt; 0.7, "Mid Income", "High Income"))</f>
        <v>High Income</v>
      </c>
    </row>
    <row r="134" spans="1:4">
      <c r="A134" s="3">
        <v>0.2</v>
      </c>
      <c r="B134">
        <v>1</v>
      </c>
      <c r="C134">
        <v>120</v>
      </c>
      <c r="D134" t="str">
        <f>IF(GapData[[#This Row],[income]] &lt; 0.3, "Low Income", IF(GapData[[#This Row],[income]] &lt; 0.7, "Mid Income", "High Income"))</f>
        <v>Low Income</v>
      </c>
    </row>
    <row r="135" spans="1:4">
      <c r="A135" s="3">
        <v>0.9</v>
      </c>
      <c r="B135">
        <v>1</v>
      </c>
      <c r="C135">
        <v>288</v>
      </c>
      <c r="D135" t="str">
        <f>IF(GapData[[#This Row],[income]] &lt; 0.3, "Low Income", IF(GapData[[#This Row],[income]] &lt; 0.7, "Mid Income", "High Income"))</f>
        <v>High Income</v>
      </c>
    </row>
    <row r="136" spans="1:4">
      <c r="A136" s="3">
        <v>0.8</v>
      </c>
      <c r="B136">
        <v>1</v>
      </c>
      <c r="C136">
        <v>199</v>
      </c>
      <c r="D136" t="str">
        <f>IF(GapData[[#This Row],[income]] &lt; 0.3, "Low Income", IF(GapData[[#This Row],[income]] &lt; 0.7, "Mid Income", "High Income"))</f>
        <v>High Income</v>
      </c>
    </row>
    <row r="137" spans="1:4">
      <c r="A137" s="3">
        <v>0.5</v>
      </c>
      <c r="B137">
        <v>1</v>
      </c>
      <c r="C137">
        <v>33</v>
      </c>
      <c r="D137" t="str">
        <f>IF(GapData[[#This Row],[income]] &lt; 0.3, "Low Income", IF(GapData[[#This Row],[income]] &lt; 0.7, "Mid Income", "High Income"))</f>
        <v>Mid Income</v>
      </c>
    </row>
    <row r="138" spans="1:4">
      <c r="A138" s="3">
        <v>0.3</v>
      </c>
      <c r="B138">
        <v>1</v>
      </c>
      <c r="C138">
        <v>272</v>
      </c>
      <c r="D138" t="str">
        <f>IF(GapData[[#This Row],[income]] &lt; 0.3, "Low Income", IF(GapData[[#This Row],[income]] &lt; 0.7, "Mid Income", "High Income"))</f>
        <v>Mid Income</v>
      </c>
    </row>
    <row r="139" spans="1:4">
      <c r="A139" s="3">
        <v>0.3</v>
      </c>
      <c r="B139">
        <v>1</v>
      </c>
      <c r="C139">
        <v>285</v>
      </c>
      <c r="D139" t="str">
        <f>IF(GapData[[#This Row],[income]] &lt; 0.3, "Low Income", IF(GapData[[#This Row],[income]] &lt; 0.7, "Mid Income", "High Income"))</f>
        <v>Mid Income</v>
      </c>
    </row>
    <row r="140" spans="1:4">
      <c r="A140" s="3">
        <v>0.9</v>
      </c>
      <c r="B140">
        <v>1</v>
      </c>
      <c r="C140">
        <v>152</v>
      </c>
      <c r="D140" t="str">
        <f>IF(GapData[[#This Row],[income]] &lt; 0.3, "Low Income", IF(GapData[[#This Row],[income]] &lt; 0.7, "Mid Income", "High Income"))</f>
        <v>High Income</v>
      </c>
    </row>
    <row r="141" spans="1:4">
      <c r="A141" s="3">
        <v>0.1</v>
      </c>
      <c r="B141">
        <v>1</v>
      </c>
      <c r="C141">
        <v>107</v>
      </c>
      <c r="D141" t="str">
        <f>IF(GapData[[#This Row],[income]] &lt; 0.3, "Low Income", IF(GapData[[#This Row],[income]] &lt; 0.7, "Mid Income", "High Income"))</f>
        <v>Low Income</v>
      </c>
    </row>
    <row r="142" spans="1:4">
      <c r="A142" s="3">
        <v>0.9</v>
      </c>
      <c r="B142">
        <v>1</v>
      </c>
      <c r="C142">
        <v>145</v>
      </c>
      <c r="D142" t="str">
        <f>IF(GapData[[#This Row],[income]] &lt; 0.3, "Low Income", IF(GapData[[#This Row],[income]] &lt; 0.7, "Mid Income", "High Income"))</f>
        <v>High Income</v>
      </c>
    </row>
    <row r="143" spans="1:4">
      <c r="A143" s="3">
        <v>0.1</v>
      </c>
      <c r="B143">
        <v>1</v>
      </c>
      <c r="C143">
        <v>153</v>
      </c>
      <c r="D143" t="str">
        <f>IF(GapData[[#This Row],[income]] &lt; 0.3, "Low Income", IF(GapData[[#This Row],[income]] &lt; 0.7, "Mid Income", "High Income"))</f>
        <v>Low Income</v>
      </c>
    </row>
    <row r="144" spans="1:4">
      <c r="A144" s="3">
        <v>0.1</v>
      </c>
      <c r="B144">
        <v>1</v>
      </c>
      <c r="C144">
        <v>229</v>
      </c>
      <c r="D144" t="str">
        <f>IF(GapData[[#This Row],[income]] &lt; 0.3, "Low Income", IF(GapData[[#This Row],[income]] &lt; 0.7, "Mid Income", "High Income"))</f>
        <v>Low Income</v>
      </c>
    </row>
    <row r="145" spans="1:4">
      <c r="A145" s="3">
        <v>0.7</v>
      </c>
      <c r="B145">
        <v>1</v>
      </c>
      <c r="C145">
        <v>135</v>
      </c>
      <c r="D145" t="str">
        <f>IF(GapData[[#This Row],[income]] &lt; 0.3, "Low Income", IF(GapData[[#This Row],[income]] &lt; 0.7, "Mid Income", "High Income"))</f>
        <v>High Income</v>
      </c>
    </row>
    <row r="146" spans="1:4">
      <c r="A146" s="3">
        <v>0.9</v>
      </c>
      <c r="B146">
        <v>1</v>
      </c>
      <c r="C146">
        <v>298</v>
      </c>
      <c r="D146" t="str">
        <f>IF(GapData[[#This Row],[income]] &lt; 0.3, "Low Income", IF(GapData[[#This Row],[income]] &lt; 0.7, "Mid Income", "High Income"))</f>
        <v>High Income</v>
      </c>
    </row>
    <row r="147" spans="1:4">
      <c r="A147" s="3">
        <v>0.9</v>
      </c>
      <c r="B147">
        <v>1</v>
      </c>
      <c r="C147">
        <v>181</v>
      </c>
      <c r="D147" t="str">
        <f>IF(GapData[[#This Row],[income]] &lt; 0.3, "Low Income", IF(GapData[[#This Row],[income]] &lt; 0.7, "Mid Income", "High Income"))</f>
        <v>High Income</v>
      </c>
    </row>
    <row r="148" spans="1:4">
      <c r="A148" s="3">
        <v>0.3</v>
      </c>
      <c r="B148">
        <v>1</v>
      </c>
      <c r="C148">
        <v>199</v>
      </c>
      <c r="D148" t="str">
        <f>IF(GapData[[#This Row],[income]] &lt; 0.3, "Low Income", IF(GapData[[#This Row],[income]] &lt; 0.7, "Mid Income", "High Income"))</f>
        <v>Mid Income</v>
      </c>
    </row>
    <row r="149" spans="1:4">
      <c r="A149" s="3">
        <v>0.1</v>
      </c>
      <c r="B149">
        <v>1</v>
      </c>
      <c r="C149">
        <v>68</v>
      </c>
      <c r="D149" t="str">
        <f>IF(GapData[[#This Row],[income]] &lt; 0.3, "Low Income", IF(GapData[[#This Row],[income]] &lt; 0.7, "Mid Income", "High Income"))</f>
        <v>Low Income</v>
      </c>
    </row>
    <row r="150" spans="1:4">
      <c r="A150" s="3">
        <v>0.9</v>
      </c>
      <c r="B150">
        <v>1</v>
      </c>
      <c r="C150">
        <v>117</v>
      </c>
      <c r="D150" t="str">
        <f>IF(GapData[[#This Row],[income]] &lt; 0.3, "Low Income", IF(GapData[[#This Row],[income]] &lt; 0.7, "Mid Income", "High Income"))</f>
        <v>High Income</v>
      </c>
    </row>
    <row r="151" spans="1:4">
      <c r="A151" s="3">
        <v>0.2</v>
      </c>
      <c r="B151">
        <v>1</v>
      </c>
      <c r="C151">
        <v>183</v>
      </c>
      <c r="D151" t="str">
        <f>IF(GapData[[#This Row],[income]] &lt; 0.3, "Low Income", IF(GapData[[#This Row],[income]] &lt; 0.7, "Mid Income", "High Income"))</f>
        <v>Low Income</v>
      </c>
    </row>
    <row r="152" spans="1:4">
      <c r="A152" s="3">
        <v>0.9</v>
      </c>
      <c r="B152">
        <v>1</v>
      </c>
      <c r="C152">
        <v>232</v>
      </c>
      <c r="D152" t="str">
        <f>IF(GapData[[#This Row],[income]] &lt; 0.3, "Low Income", IF(GapData[[#This Row],[income]] &lt; 0.7, "Mid Income", "High Income"))</f>
        <v>High Income</v>
      </c>
    </row>
    <row r="153" spans="1:4">
      <c r="A153" s="3">
        <v>0.9</v>
      </c>
      <c r="B153">
        <v>1</v>
      </c>
      <c r="C153">
        <v>273</v>
      </c>
      <c r="D153" t="str">
        <f>IF(GapData[[#This Row],[income]] &lt; 0.3, "Low Income", IF(GapData[[#This Row],[income]] &lt; 0.7, "Mid Income", "High Income"))</f>
        <v>High Income</v>
      </c>
    </row>
    <row r="154" spans="1:4">
      <c r="A154" s="3">
        <v>0.8</v>
      </c>
      <c r="B154">
        <v>1</v>
      </c>
      <c r="C154">
        <v>215</v>
      </c>
      <c r="D154" t="str">
        <f>IF(GapData[[#This Row],[income]] &lt; 0.3, "Low Income", IF(GapData[[#This Row],[income]] &lt; 0.7, "Mid Income", "High Income"))</f>
        <v>High Income</v>
      </c>
    </row>
    <row r="155" spans="1:4">
      <c r="A155" s="3">
        <v>0.9</v>
      </c>
      <c r="B155">
        <v>1</v>
      </c>
      <c r="C155">
        <v>183</v>
      </c>
      <c r="D155" t="str">
        <f>IF(GapData[[#This Row],[income]] &lt; 0.3, "Low Income", IF(GapData[[#This Row],[income]] &lt; 0.7, "Mid Income", "High Income"))</f>
        <v>High Income</v>
      </c>
    </row>
    <row r="156" spans="1:4">
      <c r="A156" s="3">
        <v>0.8</v>
      </c>
      <c r="B156">
        <v>1</v>
      </c>
      <c r="C156">
        <v>272</v>
      </c>
      <c r="D156" t="str">
        <f>IF(GapData[[#This Row],[income]] &lt; 0.3, "Low Income", IF(GapData[[#This Row],[income]] &lt; 0.7, "Mid Income", "High Income"))</f>
        <v>High Income</v>
      </c>
    </row>
    <row r="157" spans="1:4">
      <c r="A157" s="3">
        <v>0.8</v>
      </c>
      <c r="B157">
        <v>1</v>
      </c>
      <c r="C157">
        <v>200</v>
      </c>
      <c r="D157" t="str">
        <f>IF(GapData[[#This Row],[income]] &lt; 0.3, "Low Income", IF(GapData[[#This Row],[income]] &lt; 0.7, "Mid Income", "High Income"))</f>
        <v>High Income</v>
      </c>
    </row>
    <row r="158" spans="1:4">
      <c r="A158" s="3">
        <v>0.7</v>
      </c>
      <c r="B158">
        <v>1</v>
      </c>
      <c r="C158">
        <v>198</v>
      </c>
      <c r="D158" t="str">
        <f>IF(GapData[[#This Row],[income]] &lt; 0.3, "Low Income", IF(GapData[[#This Row],[income]] &lt; 0.7, "Mid Income", "High Income"))</f>
        <v>High Income</v>
      </c>
    </row>
    <row r="159" spans="1:4">
      <c r="A159" s="3">
        <v>0.9</v>
      </c>
      <c r="B159">
        <v>1</v>
      </c>
      <c r="C159">
        <v>217</v>
      </c>
      <c r="D159" t="str">
        <f>IF(GapData[[#This Row],[income]] &lt; 0.3, "Low Income", IF(GapData[[#This Row],[income]] &lt; 0.7, "Mid Income", "High Income"))</f>
        <v>High Income</v>
      </c>
    </row>
    <row r="160" spans="1:4">
      <c r="A160" s="3">
        <v>0.9</v>
      </c>
      <c r="B160">
        <v>1</v>
      </c>
      <c r="C160">
        <v>275</v>
      </c>
      <c r="D160" t="str">
        <f>IF(GapData[[#This Row],[income]] &lt; 0.3, "Low Income", IF(GapData[[#This Row],[income]] &lt; 0.7, "Mid Income", "High Income"))</f>
        <v>High Income</v>
      </c>
    </row>
    <row r="161" spans="1:4">
      <c r="A161" s="3">
        <v>0.9</v>
      </c>
      <c r="B161">
        <v>1</v>
      </c>
      <c r="C161">
        <v>123</v>
      </c>
      <c r="D161" t="str">
        <f>IF(GapData[[#This Row],[income]] &lt; 0.3, "Low Income", IF(GapData[[#This Row],[income]] &lt; 0.7, "Mid Income", "High Income"))</f>
        <v>High Income</v>
      </c>
    </row>
    <row r="162" spans="1:4">
      <c r="A162" s="3">
        <v>0.9</v>
      </c>
      <c r="B162">
        <v>1</v>
      </c>
      <c r="C162">
        <v>142</v>
      </c>
      <c r="D162" t="str">
        <f>IF(GapData[[#This Row],[income]] &lt; 0.3, "Low Income", IF(GapData[[#This Row],[income]] &lt; 0.7, "Mid Income", "High Income"))</f>
        <v>High Income</v>
      </c>
    </row>
    <row r="163" spans="1:4">
      <c r="A163" s="3">
        <v>0.7</v>
      </c>
      <c r="B163">
        <v>1</v>
      </c>
      <c r="C163">
        <v>65</v>
      </c>
      <c r="D163" t="str">
        <f>IF(GapData[[#This Row],[income]] &lt; 0.3, "Low Income", IF(GapData[[#This Row],[income]] &lt; 0.7, "Mid Income", "High Income"))</f>
        <v>High Income</v>
      </c>
    </row>
    <row r="164" spans="1:4">
      <c r="A164" s="3">
        <v>0.9</v>
      </c>
      <c r="B164">
        <v>1</v>
      </c>
      <c r="C164">
        <v>223</v>
      </c>
      <c r="D164" t="str">
        <f>IF(GapData[[#This Row],[income]] &lt; 0.3, "Low Income", IF(GapData[[#This Row],[income]] &lt; 0.7, "Mid Income", "High Income"))</f>
        <v>High Income</v>
      </c>
    </row>
    <row r="165" spans="1:4">
      <c r="A165" s="3">
        <v>0.2</v>
      </c>
      <c r="B165">
        <v>1</v>
      </c>
      <c r="C165">
        <v>191</v>
      </c>
      <c r="D165" t="str">
        <f>IF(GapData[[#This Row],[income]] &lt; 0.3, "Low Income", IF(GapData[[#This Row],[income]] &lt; 0.7, "Mid Income", "High Income"))</f>
        <v>Low Income</v>
      </c>
    </row>
    <row r="166" spans="1:4">
      <c r="A166" s="3">
        <v>0.9</v>
      </c>
      <c r="B166">
        <v>1</v>
      </c>
      <c r="C166">
        <v>229</v>
      </c>
      <c r="D166" t="str">
        <f>IF(GapData[[#This Row],[income]] &lt; 0.3, "Low Income", IF(GapData[[#This Row],[income]] &lt; 0.7, "Mid Income", "High Income"))</f>
        <v>High Income</v>
      </c>
    </row>
    <row r="167" spans="1:4">
      <c r="A167" s="3">
        <v>0.7</v>
      </c>
      <c r="B167">
        <v>1</v>
      </c>
      <c r="C167">
        <v>286</v>
      </c>
      <c r="D167" t="str">
        <f>IF(GapData[[#This Row],[income]] &lt; 0.3, "Low Income", IF(GapData[[#This Row],[income]] &lt; 0.7, "Mid Income", "High Income"))</f>
        <v>High Income</v>
      </c>
    </row>
    <row r="168" spans="1:4">
      <c r="A168" s="3">
        <v>0.6</v>
      </c>
      <c r="B168">
        <v>1</v>
      </c>
      <c r="C168">
        <v>80</v>
      </c>
      <c r="D168" t="str">
        <f>IF(GapData[[#This Row],[income]] &lt; 0.3, "Low Income", IF(GapData[[#This Row],[income]] &lt; 0.7, "Mid Income", "High Income"))</f>
        <v>Mid Income</v>
      </c>
    </row>
    <row r="169" spans="1:4">
      <c r="A169" s="3">
        <v>0.9</v>
      </c>
      <c r="B169">
        <v>1</v>
      </c>
      <c r="C169">
        <v>88</v>
      </c>
      <c r="D169" t="str">
        <f>IF(GapData[[#This Row],[income]] &lt; 0.3, "Low Income", IF(GapData[[#This Row],[income]] &lt; 0.7, "Mid Income", "High Income"))</f>
        <v>High Income</v>
      </c>
    </row>
    <row r="170" spans="1:4">
      <c r="A170" s="3">
        <v>0.5</v>
      </c>
      <c r="B170">
        <v>1</v>
      </c>
      <c r="C170">
        <v>193</v>
      </c>
      <c r="D170" t="str">
        <f>IF(GapData[[#This Row],[income]] &lt; 0.3, "Low Income", IF(GapData[[#This Row],[income]] &lt; 0.7, "Mid Income", "High Income"))</f>
        <v>Mid Income</v>
      </c>
    </row>
    <row r="171" spans="1:4">
      <c r="A171" s="3">
        <v>0.6</v>
      </c>
      <c r="B171">
        <v>1</v>
      </c>
      <c r="C171">
        <v>181</v>
      </c>
      <c r="D171" t="str">
        <f>IF(GapData[[#This Row],[income]] &lt; 0.3, "Low Income", IF(GapData[[#This Row],[income]] &lt; 0.7, "Mid Income", "High Income"))</f>
        <v>Mid Income</v>
      </c>
    </row>
    <row r="172" spans="1:4">
      <c r="A172" s="3">
        <v>0.2</v>
      </c>
      <c r="B172">
        <v>1</v>
      </c>
      <c r="C172">
        <v>154</v>
      </c>
      <c r="D172" t="str">
        <f>IF(GapData[[#This Row],[income]] &lt; 0.3, "Low Income", IF(GapData[[#This Row],[income]] &lt; 0.7, "Mid Income", "High Income"))</f>
        <v>Low Income</v>
      </c>
    </row>
    <row r="173" spans="1:4">
      <c r="A173" s="3">
        <v>0.9</v>
      </c>
      <c r="B173">
        <v>1</v>
      </c>
      <c r="C173">
        <v>137</v>
      </c>
      <c r="D173" t="str">
        <f>IF(GapData[[#This Row],[income]] &lt; 0.3, "Low Income", IF(GapData[[#This Row],[income]] &lt; 0.7, "Mid Income", "High Income"))</f>
        <v>High Income</v>
      </c>
    </row>
    <row r="174" spans="1:4">
      <c r="A174" s="3">
        <v>0.9</v>
      </c>
      <c r="B174">
        <v>1</v>
      </c>
      <c r="C174">
        <v>186</v>
      </c>
      <c r="D174" t="str">
        <f>IF(GapData[[#This Row],[income]] &lt; 0.3, "Low Income", IF(GapData[[#This Row],[income]] &lt; 0.7, "Mid Income", "High Income"))</f>
        <v>High Income</v>
      </c>
    </row>
    <row r="175" spans="1:4">
      <c r="A175" s="3">
        <v>0.9</v>
      </c>
      <c r="B175">
        <v>1</v>
      </c>
      <c r="C175">
        <v>191</v>
      </c>
      <c r="D175" t="str">
        <f>IF(GapData[[#This Row],[income]] &lt; 0.3, "Low Income", IF(GapData[[#This Row],[income]] &lt; 0.7, "Mid Income", "High Income"))</f>
        <v>High Income</v>
      </c>
    </row>
    <row r="176" spans="1:4">
      <c r="A176" s="3">
        <v>0.9</v>
      </c>
      <c r="B176">
        <v>1</v>
      </c>
      <c r="C176">
        <v>165</v>
      </c>
      <c r="D176" t="str">
        <f>IF(GapData[[#This Row],[income]] &lt; 0.3, "Low Income", IF(GapData[[#This Row],[income]] &lt; 0.7, "Mid Income", "High Income"))</f>
        <v>High Income</v>
      </c>
    </row>
    <row r="177" spans="1:4">
      <c r="A177" s="3">
        <v>0.9</v>
      </c>
      <c r="B177">
        <v>1</v>
      </c>
      <c r="C177">
        <v>115</v>
      </c>
      <c r="D177" t="str">
        <f>IF(GapData[[#This Row],[income]] &lt; 0.3, "Low Income", IF(GapData[[#This Row],[income]] &lt; 0.7, "Mid Income", "High Income"))</f>
        <v>High Income</v>
      </c>
    </row>
    <row r="178" spans="1:4">
      <c r="A178" s="3">
        <v>0.9</v>
      </c>
      <c r="B178">
        <v>1</v>
      </c>
      <c r="C178">
        <v>169</v>
      </c>
      <c r="D178" t="str">
        <f>IF(GapData[[#This Row],[income]] &lt; 0.3, "Low Income", IF(GapData[[#This Row],[income]] &lt; 0.7, "Mid Income", "High Income"))</f>
        <v>High Income</v>
      </c>
    </row>
    <row r="179" spans="1:4">
      <c r="A179" s="3">
        <v>0.4</v>
      </c>
      <c r="B179">
        <v>1</v>
      </c>
      <c r="C179">
        <v>98</v>
      </c>
      <c r="D179" t="str">
        <f>IF(GapData[[#This Row],[income]] &lt; 0.3, "Low Income", IF(GapData[[#This Row],[income]] &lt; 0.7, "Mid Income", "High Income"))</f>
        <v>Mid Income</v>
      </c>
    </row>
    <row r="180" spans="1:4">
      <c r="A180" s="3">
        <v>0.6</v>
      </c>
      <c r="B180">
        <v>1</v>
      </c>
      <c r="C180">
        <v>123</v>
      </c>
      <c r="D180" t="str">
        <f>IF(GapData[[#This Row],[income]] &lt; 0.3, "Low Income", IF(GapData[[#This Row],[income]] &lt; 0.7, "Mid Income", "High Income"))</f>
        <v>Mid Income</v>
      </c>
    </row>
    <row r="181" spans="1:4">
      <c r="A181" s="3">
        <v>0.9</v>
      </c>
      <c r="B181">
        <v>1</v>
      </c>
      <c r="C181">
        <v>88</v>
      </c>
      <c r="D181" t="str">
        <f>IF(GapData[[#This Row],[income]] &lt; 0.3, "Low Income", IF(GapData[[#This Row],[income]] &lt; 0.7, "Mid Income", "High Income"))</f>
        <v>High Income</v>
      </c>
    </row>
    <row r="182" spans="1:4">
      <c r="A182" s="3">
        <v>0.9</v>
      </c>
      <c r="B182">
        <v>1</v>
      </c>
      <c r="C182">
        <v>275</v>
      </c>
      <c r="D182" t="str">
        <f>IF(GapData[[#This Row],[income]] &lt; 0.3, "Low Income", IF(GapData[[#This Row],[income]] &lt; 0.7, "Mid Income", "High Income"))</f>
        <v>High Income</v>
      </c>
    </row>
    <row r="183" spans="1:4">
      <c r="A183" s="3">
        <v>0.4</v>
      </c>
      <c r="B183">
        <v>1</v>
      </c>
      <c r="C183">
        <v>51</v>
      </c>
      <c r="D183" t="str">
        <f>IF(GapData[[#This Row],[income]] &lt; 0.3, "Low Income", IF(GapData[[#This Row],[income]] &lt; 0.7, "Mid Income", "High Income"))</f>
        <v>Mid Income</v>
      </c>
    </row>
    <row r="184" spans="1:4">
      <c r="A184" s="3">
        <v>0.5</v>
      </c>
      <c r="B184">
        <v>1</v>
      </c>
      <c r="C184">
        <v>153</v>
      </c>
      <c r="D184" t="str">
        <f>IF(GapData[[#This Row],[income]] &lt; 0.3, "Low Income", IF(GapData[[#This Row],[income]] &lt; 0.7, "Mid Income", "High Income"))</f>
        <v>Mid Income</v>
      </c>
    </row>
    <row r="185" spans="1:4">
      <c r="A185" s="3">
        <v>0.9</v>
      </c>
      <c r="B185">
        <v>1</v>
      </c>
      <c r="C185">
        <v>127</v>
      </c>
      <c r="D185" t="str">
        <f>IF(GapData[[#This Row],[income]] &lt; 0.3, "Low Income", IF(GapData[[#This Row],[income]] &lt; 0.7, "Mid Income", "High Income"))</f>
        <v>High Income</v>
      </c>
    </row>
    <row r="186" spans="1:4">
      <c r="A186" s="3">
        <v>0.8</v>
      </c>
      <c r="B186">
        <v>1</v>
      </c>
      <c r="C186">
        <v>183</v>
      </c>
      <c r="D186" t="str">
        <f>IF(GapData[[#This Row],[income]] &lt; 0.3, "Low Income", IF(GapData[[#This Row],[income]] &lt; 0.7, "Mid Income", "High Income"))</f>
        <v>High Income</v>
      </c>
    </row>
    <row r="187" spans="1:4">
      <c r="A187" s="3">
        <v>0.8</v>
      </c>
      <c r="B187">
        <v>1</v>
      </c>
      <c r="C187">
        <v>88</v>
      </c>
      <c r="D187" t="str">
        <f>IF(GapData[[#This Row],[income]] &lt; 0.3, "Low Income", IF(GapData[[#This Row],[income]] &lt; 0.7, "Mid Income", "High Income"))</f>
        <v>High Income</v>
      </c>
    </row>
    <row r="188" spans="1:4">
      <c r="A188" s="3">
        <v>0.9</v>
      </c>
      <c r="B188">
        <v>1</v>
      </c>
      <c r="C188">
        <v>123</v>
      </c>
      <c r="D188" t="str">
        <f>IF(GapData[[#This Row],[income]] &lt; 0.3, "Low Income", IF(GapData[[#This Row],[income]] &lt; 0.7, "Mid Income", "High Income"))</f>
        <v>High Income</v>
      </c>
    </row>
    <row r="189" spans="1:4">
      <c r="A189" s="3">
        <v>0.9</v>
      </c>
      <c r="B189">
        <v>1</v>
      </c>
      <c r="C189">
        <v>255</v>
      </c>
      <c r="D189" t="str">
        <f>IF(GapData[[#This Row],[income]] &lt; 0.3, "Low Income", IF(GapData[[#This Row],[income]] &lt; 0.7, "Mid Income", "High Income"))</f>
        <v>High Income</v>
      </c>
    </row>
    <row r="190" spans="1:4">
      <c r="A190" s="3">
        <v>0.7</v>
      </c>
      <c r="B190">
        <v>1</v>
      </c>
      <c r="C190">
        <v>139</v>
      </c>
      <c r="D190" t="str">
        <f>IF(GapData[[#This Row],[income]] &lt; 0.3, "Low Income", IF(GapData[[#This Row],[income]] &lt; 0.7, "Mid Income", "High Income"))</f>
        <v>High Income</v>
      </c>
    </row>
    <row r="191" spans="1:4">
      <c r="A191" s="3">
        <v>0.9</v>
      </c>
      <c r="B191">
        <v>1</v>
      </c>
      <c r="C191">
        <v>188</v>
      </c>
      <c r="D191" t="str">
        <f>IF(GapData[[#This Row],[income]] &lt; 0.3, "Low Income", IF(GapData[[#This Row],[income]] &lt; 0.7, "Mid Income", "High Income"))</f>
        <v>High Income</v>
      </c>
    </row>
    <row r="192" spans="1:4">
      <c r="A192" s="3">
        <v>0.9</v>
      </c>
      <c r="B192">
        <v>1</v>
      </c>
      <c r="C192">
        <v>223</v>
      </c>
      <c r="D192" t="str">
        <f>IF(GapData[[#This Row],[income]] &lt; 0.3, "Low Income", IF(GapData[[#This Row],[income]] &lt; 0.7, "Mid Income", "High Income"))</f>
        <v>High Income</v>
      </c>
    </row>
    <row r="193" spans="1:4">
      <c r="A193" s="3">
        <v>0.7</v>
      </c>
      <c r="B193">
        <v>1</v>
      </c>
      <c r="C193">
        <v>282</v>
      </c>
      <c r="D193" t="str">
        <f>IF(GapData[[#This Row],[income]] &lt; 0.3, "Low Income", IF(GapData[[#This Row],[income]] &lt; 0.7, "Mid Income", "High Income"))</f>
        <v>High Income</v>
      </c>
    </row>
    <row r="194" spans="1:4">
      <c r="A194" s="3">
        <v>0.9</v>
      </c>
      <c r="B194">
        <v>1</v>
      </c>
      <c r="C194">
        <v>276</v>
      </c>
      <c r="D194" t="str">
        <f>IF(GapData[[#This Row],[income]] &lt; 0.3, "Low Income", IF(GapData[[#This Row],[income]] &lt; 0.7, "Mid Income", "High Income"))</f>
        <v>High Income</v>
      </c>
    </row>
    <row r="195" spans="1:4">
      <c r="A195" s="3">
        <v>0.9</v>
      </c>
      <c r="B195">
        <v>1</v>
      </c>
      <c r="C195">
        <v>124</v>
      </c>
      <c r="D195" t="str">
        <f>IF(GapData[[#This Row],[income]] &lt; 0.3, "Low Income", IF(GapData[[#This Row],[income]] &lt; 0.7, "Mid Income", "High Income"))</f>
        <v>High Income</v>
      </c>
    </row>
    <row r="196" spans="1:4">
      <c r="A196" s="3">
        <v>0.2</v>
      </c>
      <c r="B196">
        <v>1</v>
      </c>
      <c r="C196">
        <v>219</v>
      </c>
      <c r="D196" t="str">
        <f>IF(GapData[[#This Row],[income]] &lt; 0.3, "Low Income", IF(GapData[[#This Row],[income]] &lt; 0.7, "Mid Income", "High Income"))</f>
        <v>Low Income</v>
      </c>
    </row>
    <row r="197" spans="1:4">
      <c r="A197" s="3">
        <v>0.9</v>
      </c>
      <c r="B197">
        <v>1</v>
      </c>
      <c r="C197">
        <v>201</v>
      </c>
      <c r="D197" t="str">
        <f>IF(GapData[[#This Row],[income]] &lt; 0.3, "Low Income", IF(GapData[[#This Row],[income]] &lt; 0.7, "Mid Income", "High Income"))</f>
        <v>High Income</v>
      </c>
    </row>
    <row r="198" spans="1:4">
      <c r="A198" s="3">
        <v>0.3</v>
      </c>
      <c r="B198">
        <v>1</v>
      </c>
      <c r="C198">
        <v>137</v>
      </c>
      <c r="D198" t="str">
        <f>IF(GapData[[#This Row],[income]] &lt; 0.3, "Low Income", IF(GapData[[#This Row],[income]] &lt; 0.7, "Mid Income", "High Income"))</f>
        <v>Mid Income</v>
      </c>
    </row>
    <row r="199" spans="1:4">
      <c r="A199" s="3">
        <v>0.2</v>
      </c>
      <c r="B199">
        <v>1</v>
      </c>
      <c r="C199">
        <v>-31</v>
      </c>
      <c r="D199" t="str">
        <f>IF(GapData[[#This Row],[income]] &lt; 0.3, "Low Income", IF(GapData[[#This Row],[income]] &lt; 0.7, "Mid Income", "High Income"))</f>
        <v>Low Income</v>
      </c>
    </row>
    <row r="200" spans="1:4">
      <c r="A200" s="3">
        <v>0.9</v>
      </c>
      <c r="B200">
        <v>1</v>
      </c>
      <c r="C200">
        <v>203</v>
      </c>
      <c r="D200" t="str">
        <f>IF(GapData[[#This Row],[income]] &lt; 0.3, "Low Income", IF(GapData[[#This Row],[income]] &lt; 0.7, "Mid Income", "High Income"))</f>
        <v>High Income</v>
      </c>
    </row>
    <row r="201" spans="1:4">
      <c r="A201" s="3">
        <v>0.9</v>
      </c>
      <c r="B201">
        <v>1</v>
      </c>
      <c r="C201">
        <v>192</v>
      </c>
      <c r="D201" t="str">
        <f>IF(GapData[[#This Row],[income]] &lt; 0.3, "Low Income", IF(GapData[[#This Row],[income]] &lt; 0.7, "Mid Income", "High Income"))</f>
        <v>High Income</v>
      </c>
    </row>
    <row r="202" spans="1:4">
      <c r="A202" s="3">
        <v>0.9</v>
      </c>
      <c r="B202">
        <v>1</v>
      </c>
      <c r="C202">
        <v>76</v>
      </c>
      <c r="D202" t="str">
        <f>IF(GapData[[#This Row],[income]] &lt; 0.3, "Low Income", IF(GapData[[#This Row],[income]] &lt; 0.7, "Mid Income", "High Income"))</f>
        <v>High Income</v>
      </c>
    </row>
    <row r="203" spans="1:4">
      <c r="A203" s="3">
        <v>0.9</v>
      </c>
      <c r="B203">
        <v>1</v>
      </c>
      <c r="C203">
        <v>236</v>
      </c>
      <c r="D203" t="str">
        <f>IF(GapData[[#This Row],[income]] &lt; 0.3, "Low Income", IF(GapData[[#This Row],[income]] &lt; 0.7, "Mid Income", "High Income"))</f>
        <v>High Income</v>
      </c>
    </row>
    <row r="204" spans="1:4">
      <c r="A204" s="3">
        <v>0.6</v>
      </c>
      <c r="B204">
        <v>1</v>
      </c>
      <c r="C204">
        <v>127</v>
      </c>
      <c r="D204" t="str">
        <f>IF(GapData[[#This Row],[income]] &lt; 0.3, "Low Income", IF(GapData[[#This Row],[income]] &lt; 0.7, "Mid Income", "High Income"))</f>
        <v>Mid Income</v>
      </c>
    </row>
    <row r="205" spans="1:4">
      <c r="A205" s="3">
        <v>0.9</v>
      </c>
      <c r="B205">
        <v>1</v>
      </c>
      <c r="C205">
        <v>191</v>
      </c>
      <c r="D205" t="str">
        <f>IF(GapData[[#This Row],[income]] &lt; 0.3, "Low Income", IF(GapData[[#This Row],[income]] &lt; 0.7, "Mid Income", "High Income"))</f>
        <v>High Income</v>
      </c>
    </row>
    <row r="206" spans="1:4">
      <c r="A206" s="3">
        <v>0.4</v>
      </c>
      <c r="B206">
        <v>1</v>
      </c>
      <c r="C206">
        <v>140</v>
      </c>
      <c r="D206" t="str">
        <f>IF(GapData[[#This Row],[income]] &lt; 0.3, "Low Income", IF(GapData[[#This Row],[income]] &lt; 0.7, "Mid Income", "High Income"))</f>
        <v>Mid Income</v>
      </c>
    </row>
    <row r="207" spans="1:4">
      <c r="A207" s="3">
        <v>0.9</v>
      </c>
      <c r="B207">
        <v>1</v>
      </c>
      <c r="C207">
        <v>77</v>
      </c>
      <c r="D207" t="str">
        <f>IF(GapData[[#This Row],[income]] &lt; 0.3, "Low Income", IF(GapData[[#This Row],[income]] &lt; 0.7, "Mid Income", "High Income"))</f>
        <v>High Income</v>
      </c>
    </row>
    <row r="208" spans="1:4">
      <c r="A208" s="3">
        <v>0.1</v>
      </c>
      <c r="B208">
        <v>1</v>
      </c>
      <c r="C208">
        <v>132</v>
      </c>
      <c r="D208" t="str">
        <f>IF(GapData[[#This Row],[income]] &lt; 0.3, "Low Income", IF(GapData[[#This Row],[income]] &lt; 0.7, "Mid Income", "High Income"))</f>
        <v>Low Income</v>
      </c>
    </row>
    <row r="209" spans="1:4">
      <c r="A209" s="3">
        <v>0.9</v>
      </c>
      <c r="B209">
        <v>1</v>
      </c>
      <c r="C209">
        <v>259</v>
      </c>
      <c r="D209" t="str">
        <f>IF(GapData[[#This Row],[income]] &lt; 0.3, "Low Income", IF(GapData[[#This Row],[income]] &lt; 0.7, "Mid Income", "High Income"))</f>
        <v>High Income</v>
      </c>
    </row>
    <row r="210" spans="1:4">
      <c r="A210" s="3">
        <v>0.4</v>
      </c>
      <c r="B210">
        <v>1</v>
      </c>
      <c r="C210">
        <v>288</v>
      </c>
      <c r="D210" t="str">
        <f>IF(GapData[[#This Row],[income]] &lt; 0.3, "Low Income", IF(GapData[[#This Row],[income]] &lt; 0.7, "Mid Income", "High Income"))</f>
        <v>Mid Income</v>
      </c>
    </row>
    <row r="211" spans="1:4">
      <c r="A211" s="3">
        <v>0.9</v>
      </c>
      <c r="B211">
        <v>1</v>
      </c>
      <c r="C211">
        <v>165</v>
      </c>
      <c r="D211" t="str">
        <f>IF(GapData[[#This Row],[income]] &lt; 0.3, "Low Income", IF(GapData[[#This Row],[income]] &lt; 0.7, "Mid Income", "High Income"))</f>
        <v>High Income</v>
      </c>
    </row>
    <row r="212" spans="1:4">
      <c r="A212" s="3">
        <v>0.7</v>
      </c>
      <c r="B212">
        <v>1</v>
      </c>
      <c r="C212">
        <v>60</v>
      </c>
      <c r="D212" t="str">
        <f>IF(GapData[[#This Row],[income]] &lt; 0.3, "Low Income", IF(GapData[[#This Row],[income]] &lt; 0.7, "Mid Income", "High Income"))</f>
        <v>High Income</v>
      </c>
    </row>
    <row r="213" spans="1:4">
      <c r="A213" s="3">
        <v>0.7</v>
      </c>
      <c r="B213">
        <v>1</v>
      </c>
      <c r="C213">
        <v>184</v>
      </c>
      <c r="D213" t="str">
        <f>IF(GapData[[#This Row],[income]] &lt; 0.3, "Low Income", IF(GapData[[#This Row],[income]] &lt; 0.7, "Mid Income", "High Income"))</f>
        <v>High Income</v>
      </c>
    </row>
    <row r="214" spans="1:4">
      <c r="A214" s="3">
        <v>0.9</v>
      </c>
      <c r="B214">
        <v>1</v>
      </c>
      <c r="C214">
        <v>266</v>
      </c>
      <c r="D214" t="str">
        <f>IF(GapData[[#This Row],[income]] &lt; 0.3, "Low Income", IF(GapData[[#This Row],[income]] &lt; 0.7, "Mid Income", "High Income"))</f>
        <v>High Income</v>
      </c>
    </row>
    <row r="215" spans="1:4">
      <c r="A215" s="3">
        <v>0.6</v>
      </c>
      <c r="B215">
        <v>1</v>
      </c>
      <c r="C215">
        <v>157</v>
      </c>
      <c r="D215" t="str">
        <f>IF(GapData[[#This Row],[income]] &lt; 0.3, "Low Income", IF(GapData[[#This Row],[income]] &lt; 0.7, "Mid Income", "High Income"))</f>
        <v>Mid Income</v>
      </c>
    </row>
    <row r="216" spans="1:4">
      <c r="A216" s="3">
        <v>0.7</v>
      </c>
      <c r="B216">
        <v>1</v>
      </c>
      <c r="C216">
        <v>194</v>
      </c>
      <c r="D216" t="str">
        <f>IF(GapData[[#This Row],[income]] &lt; 0.3, "Low Income", IF(GapData[[#This Row],[income]] &lt; 0.7, "Mid Income", "High Income"))</f>
        <v>High Income</v>
      </c>
    </row>
    <row r="217" spans="1:4">
      <c r="A217" s="3">
        <v>0.9</v>
      </c>
      <c r="B217">
        <v>1</v>
      </c>
      <c r="C217">
        <v>42</v>
      </c>
      <c r="D217" t="str">
        <f>IF(GapData[[#This Row],[income]] &lt; 0.3, "Low Income", IF(GapData[[#This Row],[income]] &lt; 0.7, "Mid Income", "High Income"))</f>
        <v>High Income</v>
      </c>
    </row>
    <row r="218" spans="1:4">
      <c r="A218" s="3">
        <v>0.9</v>
      </c>
      <c r="B218">
        <v>1</v>
      </c>
      <c r="C218">
        <v>70</v>
      </c>
      <c r="D218" t="str">
        <f>IF(GapData[[#This Row],[income]] &lt; 0.3, "Low Income", IF(GapData[[#This Row],[income]] &lt; 0.7, "Mid Income", "High Income"))</f>
        <v>High Income</v>
      </c>
    </row>
    <row r="219" spans="1:4">
      <c r="A219" s="3">
        <v>0.8</v>
      </c>
      <c r="B219">
        <v>1</v>
      </c>
      <c r="C219">
        <v>175</v>
      </c>
      <c r="D219" t="str">
        <f>IF(GapData[[#This Row],[income]] &lt; 0.3, "Low Income", IF(GapData[[#This Row],[income]] &lt; 0.7, "Mid Income", "High Income"))</f>
        <v>High Income</v>
      </c>
    </row>
    <row r="220" spans="1:4">
      <c r="A220" s="3">
        <v>0.6</v>
      </c>
      <c r="B220">
        <v>1</v>
      </c>
      <c r="C220">
        <v>171</v>
      </c>
      <c r="D220" t="str">
        <f>IF(GapData[[#This Row],[income]] &lt; 0.3, "Low Income", IF(GapData[[#This Row],[income]] &lt; 0.7, "Mid Income", "High Income"))</f>
        <v>Mid Income</v>
      </c>
    </row>
    <row r="221" spans="1:4">
      <c r="A221" s="3">
        <v>0.6</v>
      </c>
      <c r="B221">
        <v>1</v>
      </c>
      <c r="C221">
        <v>72</v>
      </c>
      <c r="D221" t="str">
        <f>IF(GapData[[#This Row],[income]] &lt; 0.3, "Low Income", IF(GapData[[#This Row],[income]] &lt; 0.7, "Mid Income", "High Income"))</f>
        <v>Mid Income</v>
      </c>
    </row>
    <row r="222" spans="1:4">
      <c r="A222" s="3">
        <v>0.4</v>
      </c>
      <c r="B222">
        <v>1</v>
      </c>
      <c r="C222">
        <v>38</v>
      </c>
      <c r="D222" t="str">
        <f>IF(GapData[[#This Row],[income]] &lt; 0.3, "Low Income", IF(GapData[[#This Row],[income]] &lt; 0.7, "Mid Income", "High Income"))</f>
        <v>Mid Income</v>
      </c>
    </row>
    <row r="223" spans="1:4">
      <c r="A223" s="3">
        <v>0.4</v>
      </c>
      <c r="B223">
        <v>1</v>
      </c>
      <c r="C223">
        <v>158</v>
      </c>
      <c r="D223" t="str">
        <f>IF(GapData[[#This Row],[income]] &lt; 0.3, "Low Income", IF(GapData[[#This Row],[income]] &lt; 0.7, "Mid Income", "High Income"))</f>
        <v>Mid Income</v>
      </c>
    </row>
    <row r="224" spans="1:4">
      <c r="A224" s="3">
        <v>0.3</v>
      </c>
      <c r="B224">
        <v>1</v>
      </c>
      <c r="C224">
        <v>133</v>
      </c>
      <c r="D224" t="str">
        <f>IF(GapData[[#This Row],[income]] &lt; 0.3, "Low Income", IF(GapData[[#This Row],[income]] &lt; 0.7, "Mid Income", "High Income"))</f>
        <v>Mid Income</v>
      </c>
    </row>
    <row r="225" spans="1:4">
      <c r="A225" s="3">
        <v>0.9</v>
      </c>
      <c r="B225">
        <v>1</v>
      </c>
      <c r="C225">
        <v>143</v>
      </c>
      <c r="D225" t="str">
        <f>IF(GapData[[#This Row],[income]] &lt; 0.3, "Low Income", IF(GapData[[#This Row],[income]] &lt; 0.7, "Mid Income", "High Income"))</f>
        <v>High Income</v>
      </c>
    </row>
    <row r="226" spans="1:4">
      <c r="A226" s="3">
        <v>0.6</v>
      </c>
      <c r="B226">
        <v>1</v>
      </c>
      <c r="C226">
        <v>102</v>
      </c>
      <c r="D226" t="str">
        <f>IF(GapData[[#This Row],[income]] &lt; 0.3, "Low Income", IF(GapData[[#This Row],[income]] &lt; 0.7, "Mid Income", "High Income"))</f>
        <v>Mid Income</v>
      </c>
    </row>
    <row r="227" spans="1:4">
      <c r="A227" s="3">
        <v>0.7</v>
      </c>
      <c r="B227">
        <v>1</v>
      </c>
      <c r="C227">
        <v>225</v>
      </c>
      <c r="D227" t="str">
        <f>IF(GapData[[#This Row],[income]] &lt; 0.3, "Low Income", IF(GapData[[#This Row],[income]] &lt; 0.7, "Mid Income", "High Income"))</f>
        <v>High Income</v>
      </c>
    </row>
    <row r="228" spans="1:4">
      <c r="A228" s="3">
        <v>0.9</v>
      </c>
      <c r="B228">
        <v>1</v>
      </c>
      <c r="C228">
        <v>110</v>
      </c>
      <c r="D228" t="str">
        <f>IF(GapData[[#This Row],[income]] &lt; 0.3, "Low Income", IF(GapData[[#This Row],[income]] &lt; 0.7, "Mid Income", "High Income"))</f>
        <v>High Income</v>
      </c>
    </row>
    <row r="229" spans="1:4">
      <c r="A229" s="3">
        <v>0.1</v>
      </c>
      <c r="B229">
        <v>1</v>
      </c>
      <c r="C229">
        <v>34</v>
      </c>
      <c r="D229" t="str">
        <f>IF(GapData[[#This Row],[income]] &lt; 0.3, "Low Income", IF(GapData[[#This Row],[income]] &lt; 0.7, "Mid Income", "High Income"))</f>
        <v>Low Income</v>
      </c>
    </row>
    <row r="230" spans="1:4">
      <c r="A230" s="3">
        <v>0.6</v>
      </c>
      <c r="B230">
        <v>1</v>
      </c>
      <c r="C230">
        <v>239</v>
      </c>
      <c r="D230" t="str">
        <f>IF(GapData[[#This Row],[income]] &lt; 0.3, "Low Income", IF(GapData[[#This Row],[income]] &lt; 0.7, "Mid Income", "High Income"))</f>
        <v>Mid Income</v>
      </c>
    </row>
    <row r="231" spans="1:4">
      <c r="A231" s="3">
        <v>0.9</v>
      </c>
      <c r="B231">
        <v>1</v>
      </c>
      <c r="C231">
        <v>3</v>
      </c>
      <c r="D231" t="str">
        <f>IF(GapData[[#This Row],[income]] &lt; 0.3, "Low Income", IF(GapData[[#This Row],[income]] &lt; 0.7, "Mid Income", "High Income"))</f>
        <v>High Income</v>
      </c>
    </row>
    <row r="232" spans="1:4">
      <c r="A232" s="3">
        <v>0.1</v>
      </c>
      <c r="B232">
        <v>1</v>
      </c>
      <c r="C232">
        <v>243</v>
      </c>
      <c r="D232" t="str">
        <f>IF(GapData[[#This Row],[income]] &lt; 0.3, "Low Income", IF(GapData[[#This Row],[income]] &lt; 0.7, "Mid Income", "High Income"))</f>
        <v>Low Income</v>
      </c>
    </row>
    <row r="233" spans="1:4">
      <c r="A233" s="3">
        <v>0.9</v>
      </c>
      <c r="B233">
        <v>1</v>
      </c>
      <c r="C233">
        <v>202</v>
      </c>
      <c r="D233" t="str">
        <f>IF(GapData[[#This Row],[income]] &lt; 0.3, "Low Income", IF(GapData[[#This Row],[income]] &lt; 0.7, "Mid Income", "High Income"))</f>
        <v>High Income</v>
      </c>
    </row>
    <row r="234" spans="1:4">
      <c r="A234" s="3">
        <v>0.6</v>
      </c>
      <c r="B234">
        <v>1</v>
      </c>
      <c r="C234">
        <v>39</v>
      </c>
      <c r="D234" t="str">
        <f>IF(GapData[[#This Row],[income]] &lt; 0.3, "Low Income", IF(GapData[[#This Row],[income]] &lt; 0.7, "Mid Income", "High Income"))</f>
        <v>Mid Income</v>
      </c>
    </row>
    <row r="235" spans="1:4">
      <c r="A235" s="3">
        <v>0.7</v>
      </c>
      <c r="B235">
        <v>1</v>
      </c>
      <c r="C235">
        <v>279</v>
      </c>
      <c r="D235" t="str">
        <f>IF(GapData[[#This Row],[income]] &lt; 0.3, "Low Income", IF(GapData[[#This Row],[income]] &lt; 0.7, "Mid Income", "High Income"))</f>
        <v>High Income</v>
      </c>
    </row>
    <row r="236" spans="1:4">
      <c r="A236" s="3">
        <v>0.9</v>
      </c>
      <c r="B236">
        <v>1</v>
      </c>
      <c r="C236">
        <v>232</v>
      </c>
      <c r="D236" t="str">
        <f>IF(GapData[[#This Row],[income]] &lt; 0.3, "Low Income", IF(GapData[[#This Row],[income]] &lt; 0.7, "Mid Income", "High Income"))</f>
        <v>High Income</v>
      </c>
    </row>
    <row r="237" spans="1:4">
      <c r="A237" s="3">
        <v>0.9</v>
      </c>
      <c r="B237">
        <v>1</v>
      </c>
      <c r="C237">
        <v>227</v>
      </c>
      <c r="D237" t="str">
        <f>IF(GapData[[#This Row],[income]] &lt; 0.3, "Low Income", IF(GapData[[#This Row],[income]] &lt; 0.7, "Mid Income", "High Income"))</f>
        <v>High Income</v>
      </c>
    </row>
    <row r="238" spans="1:4">
      <c r="A238" s="3">
        <v>0.1</v>
      </c>
      <c r="B238">
        <v>1</v>
      </c>
      <c r="C238">
        <v>65</v>
      </c>
      <c r="D238" t="str">
        <f>IF(GapData[[#This Row],[income]] &lt; 0.3, "Low Income", IF(GapData[[#This Row],[income]] &lt; 0.7, "Mid Income", "High Income"))</f>
        <v>Low Income</v>
      </c>
    </row>
    <row r="239" spans="1:4">
      <c r="A239" s="3">
        <v>0.9</v>
      </c>
      <c r="B239">
        <v>1</v>
      </c>
      <c r="C239">
        <v>132</v>
      </c>
      <c r="D239" t="str">
        <f>IF(GapData[[#This Row],[income]] &lt; 0.3, "Low Income", IF(GapData[[#This Row],[income]] &lt; 0.7, "Mid Income", "High Income"))</f>
        <v>High Income</v>
      </c>
    </row>
    <row r="240" spans="1:4">
      <c r="A240" s="3">
        <v>0.9</v>
      </c>
      <c r="B240">
        <v>1</v>
      </c>
      <c r="C240">
        <v>262</v>
      </c>
      <c r="D240" t="str">
        <f>IF(GapData[[#This Row],[income]] &lt; 0.3, "Low Income", IF(GapData[[#This Row],[income]] &lt; 0.7, "Mid Income", "High Income"))</f>
        <v>High Income</v>
      </c>
    </row>
    <row r="241" spans="1:4">
      <c r="A241" s="3">
        <v>0.9</v>
      </c>
      <c r="B241">
        <v>1</v>
      </c>
      <c r="C241">
        <v>161</v>
      </c>
      <c r="D241" t="str">
        <f>IF(GapData[[#This Row],[income]] &lt; 0.3, "Low Income", IF(GapData[[#This Row],[income]] &lt; 0.7, "Mid Income", "High Income"))</f>
        <v>High Income</v>
      </c>
    </row>
    <row r="242" spans="1:4">
      <c r="A242" s="3">
        <v>0.7</v>
      </c>
      <c r="B242">
        <v>1</v>
      </c>
      <c r="C242">
        <v>145</v>
      </c>
      <c r="D242" t="str">
        <f>IF(GapData[[#This Row],[income]] &lt; 0.3, "Low Income", IF(GapData[[#This Row],[income]] &lt; 0.7, "Mid Income", "High Income"))</f>
        <v>High Income</v>
      </c>
    </row>
    <row r="243" spans="1:4">
      <c r="A243" s="3">
        <v>0.1</v>
      </c>
      <c r="B243">
        <v>1</v>
      </c>
      <c r="C243">
        <v>28</v>
      </c>
      <c r="D243" t="str">
        <f>IF(GapData[[#This Row],[income]] &lt; 0.3, "Low Income", IF(GapData[[#This Row],[income]] &lt; 0.7, "Mid Income", "High Income"))</f>
        <v>Low Income</v>
      </c>
    </row>
    <row r="244" spans="1:4">
      <c r="A244" s="3">
        <v>0.9</v>
      </c>
      <c r="B244">
        <v>1</v>
      </c>
      <c r="C244">
        <v>275</v>
      </c>
      <c r="D244" t="str">
        <f>IF(GapData[[#This Row],[income]] &lt; 0.3, "Low Income", IF(GapData[[#This Row],[income]] &lt; 0.7, "Mid Income", "High Income"))</f>
        <v>High Income</v>
      </c>
    </row>
    <row r="245" spans="1:4">
      <c r="A245" s="3">
        <v>0.4</v>
      </c>
      <c r="B245">
        <v>1</v>
      </c>
      <c r="C245">
        <v>81</v>
      </c>
      <c r="D245" t="str">
        <f>IF(GapData[[#This Row],[income]] &lt; 0.3, "Low Income", IF(GapData[[#This Row],[income]] &lt; 0.7, "Mid Income", "High Income"))</f>
        <v>Mid Income</v>
      </c>
    </row>
    <row r="246" spans="1:4">
      <c r="A246" s="3">
        <v>0.4</v>
      </c>
      <c r="B246">
        <v>1</v>
      </c>
      <c r="C246">
        <v>273</v>
      </c>
      <c r="D246" t="str">
        <f>IF(GapData[[#This Row],[income]] &lt; 0.3, "Low Income", IF(GapData[[#This Row],[income]] &lt; 0.7, "Mid Income", "High Income"))</f>
        <v>Mid Income</v>
      </c>
    </row>
    <row r="247" spans="1:4">
      <c r="A247" s="3">
        <v>0.8</v>
      </c>
      <c r="B247">
        <v>1</v>
      </c>
      <c r="C247">
        <v>113</v>
      </c>
      <c r="D247" t="str">
        <f>IF(GapData[[#This Row],[income]] &lt; 0.3, "Low Income", IF(GapData[[#This Row],[income]] &lt; 0.7, "Mid Income", "High Income"))</f>
        <v>High Income</v>
      </c>
    </row>
    <row r="248" spans="1:4">
      <c r="A248" s="3">
        <v>0.9</v>
      </c>
      <c r="B248">
        <v>1</v>
      </c>
      <c r="C248">
        <v>271</v>
      </c>
      <c r="D248" t="str">
        <f>IF(GapData[[#This Row],[income]] &lt; 0.3, "Low Income", IF(GapData[[#This Row],[income]] &lt; 0.7, "Mid Income", "High Income"))</f>
        <v>High Income</v>
      </c>
    </row>
    <row r="249" spans="1:4">
      <c r="A249" s="3">
        <v>0.1</v>
      </c>
      <c r="B249">
        <v>1</v>
      </c>
      <c r="C249">
        <v>95</v>
      </c>
      <c r="D249" t="str">
        <f>IF(GapData[[#This Row],[income]] &lt; 0.3, "Low Income", IF(GapData[[#This Row],[income]] &lt; 0.7, "Mid Income", "High Income"))</f>
        <v>Low Income</v>
      </c>
    </row>
    <row r="250" spans="1:4">
      <c r="A250" s="3">
        <v>0.6</v>
      </c>
      <c r="B250">
        <v>1</v>
      </c>
      <c r="C250">
        <v>92</v>
      </c>
      <c r="D250" t="str">
        <f>IF(GapData[[#This Row],[income]] &lt; 0.3, "Low Income", IF(GapData[[#This Row],[income]] &lt; 0.7, "Mid Income", "High Income"))</f>
        <v>Mid Income</v>
      </c>
    </row>
    <row r="251" spans="1:4">
      <c r="A251" s="3">
        <v>0.8</v>
      </c>
      <c r="B251">
        <v>1</v>
      </c>
      <c r="C251">
        <v>292</v>
      </c>
      <c r="D251" t="str">
        <f>IF(GapData[[#This Row],[income]] &lt; 0.3, "Low Income", IF(GapData[[#This Row],[income]] &lt; 0.7, "Mid Income", "High Income"))</f>
        <v>High Income</v>
      </c>
    </row>
    <row r="252" spans="1:4">
      <c r="A252" s="3">
        <v>0.2</v>
      </c>
      <c r="B252">
        <v>1</v>
      </c>
      <c r="C252">
        <v>167</v>
      </c>
      <c r="D252" t="str">
        <f>IF(GapData[[#This Row],[income]] &lt; 0.3, "Low Income", IF(GapData[[#This Row],[income]] &lt; 0.7, "Mid Income", "High Income"))</f>
        <v>Low Income</v>
      </c>
    </row>
    <row r="253" spans="1:4">
      <c r="A253" s="3">
        <v>0.9</v>
      </c>
      <c r="B253">
        <v>1</v>
      </c>
      <c r="C253">
        <v>194</v>
      </c>
      <c r="D253" t="str">
        <f>IF(GapData[[#This Row],[income]] &lt; 0.3, "Low Income", IF(GapData[[#This Row],[income]] &lt; 0.7, "Mid Income", "High Income"))</f>
        <v>High Income</v>
      </c>
    </row>
    <row r="254" spans="1:4">
      <c r="A254" s="3">
        <v>0.1</v>
      </c>
      <c r="B254">
        <v>1</v>
      </c>
      <c r="C254">
        <v>249</v>
      </c>
      <c r="D254" t="str">
        <f>IF(GapData[[#This Row],[income]] &lt; 0.3, "Low Income", IF(GapData[[#This Row],[income]] &lt; 0.7, "Mid Income", "High Income"))</f>
        <v>Low Income</v>
      </c>
    </row>
    <row r="255" spans="1:4">
      <c r="A255" s="3">
        <v>0.4</v>
      </c>
      <c r="B255">
        <v>1</v>
      </c>
      <c r="C255">
        <v>161</v>
      </c>
      <c r="D255" t="str">
        <f>IF(GapData[[#This Row],[income]] &lt; 0.3, "Low Income", IF(GapData[[#This Row],[income]] &lt; 0.7, "Mid Income", "High Income"))</f>
        <v>Mid Income</v>
      </c>
    </row>
    <row r="256" spans="1:4">
      <c r="A256" s="3">
        <v>0.5</v>
      </c>
      <c r="B256">
        <v>1</v>
      </c>
      <c r="C256">
        <v>291</v>
      </c>
      <c r="D256" t="str">
        <f>IF(GapData[[#This Row],[income]] &lt; 0.3, "Low Income", IF(GapData[[#This Row],[income]] &lt; 0.7, "Mid Income", "High Income"))</f>
        <v>Mid Income</v>
      </c>
    </row>
    <row r="257" spans="1:4">
      <c r="A257" s="3">
        <v>0.9</v>
      </c>
      <c r="B257">
        <v>1</v>
      </c>
      <c r="C257">
        <v>61</v>
      </c>
      <c r="D257" t="str">
        <f>IF(GapData[[#This Row],[income]] &lt; 0.3, "Low Income", IF(GapData[[#This Row],[income]] &lt; 0.7, "Mid Income", "High Income"))</f>
        <v>High Income</v>
      </c>
    </row>
    <row r="258" spans="1:4">
      <c r="A258" s="3">
        <v>0.9</v>
      </c>
      <c r="B258">
        <v>1</v>
      </c>
      <c r="C258">
        <v>182</v>
      </c>
      <c r="D258" t="str">
        <f>IF(GapData[[#This Row],[income]] &lt; 0.3, "Low Income", IF(GapData[[#This Row],[income]] &lt; 0.7, "Mid Income", "High Income"))</f>
        <v>High Income</v>
      </c>
    </row>
    <row r="259" spans="1:4">
      <c r="A259" s="3">
        <v>0.9</v>
      </c>
      <c r="B259">
        <v>1</v>
      </c>
      <c r="C259">
        <v>264</v>
      </c>
      <c r="D259" t="str">
        <f>IF(GapData[[#This Row],[income]] &lt; 0.3, "Low Income", IF(GapData[[#This Row],[income]] &lt; 0.7, "Mid Income", "High Income"))</f>
        <v>High Income</v>
      </c>
    </row>
    <row r="260" spans="1:4">
      <c r="A260" s="3">
        <v>0.7</v>
      </c>
      <c r="B260">
        <v>1</v>
      </c>
      <c r="C260">
        <v>100</v>
      </c>
      <c r="D260" t="str">
        <f>IF(GapData[[#This Row],[income]] &lt; 0.3, "Low Income", IF(GapData[[#This Row],[income]] &lt; 0.7, "Mid Income", "High Income"))</f>
        <v>High Income</v>
      </c>
    </row>
    <row r="261" spans="1:4">
      <c r="A261" s="3">
        <v>0.4</v>
      </c>
      <c r="B261">
        <v>1</v>
      </c>
      <c r="C261">
        <v>245</v>
      </c>
      <c r="D261" t="str">
        <f>IF(GapData[[#This Row],[income]] &lt; 0.3, "Low Income", IF(GapData[[#This Row],[income]] &lt; 0.7, "Mid Income", "High Income"))</f>
        <v>Mid Income</v>
      </c>
    </row>
    <row r="262" spans="1:4">
      <c r="A262" s="3">
        <v>0.8</v>
      </c>
      <c r="B262">
        <v>1</v>
      </c>
      <c r="C262">
        <v>136</v>
      </c>
      <c r="D262" t="str">
        <f>IF(GapData[[#This Row],[income]] &lt; 0.3, "Low Income", IF(GapData[[#This Row],[income]] &lt; 0.7, "Mid Income", "High Income"))</f>
        <v>High Income</v>
      </c>
    </row>
    <row r="263" spans="1:4">
      <c r="A263" s="3">
        <v>0.1</v>
      </c>
      <c r="B263">
        <v>1</v>
      </c>
      <c r="C263">
        <v>102</v>
      </c>
      <c r="D263" t="str">
        <f>IF(GapData[[#This Row],[income]] &lt; 0.3, "Low Income", IF(GapData[[#This Row],[income]] &lt; 0.7, "Mid Income", "High Income"))</f>
        <v>Low Income</v>
      </c>
    </row>
    <row r="264" spans="1:4">
      <c r="A264" s="3">
        <v>0.9</v>
      </c>
      <c r="B264">
        <v>1</v>
      </c>
      <c r="C264">
        <v>253</v>
      </c>
      <c r="D264" t="str">
        <f>IF(GapData[[#This Row],[income]] &lt; 0.3, "Low Income", IF(GapData[[#This Row],[income]] &lt; 0.7, "Mid Income", "High Income"))</f>
        <v>High Income</v>
      </c>
    </row>
    <row r="265" spans="1:4">
      <c r="A265" s="3">
        <v>0.1</v>
      </c>
      <c r="B265">
        <v>1</v>
      </c>
      <c r="C265">
        <v>186</v>
      </c>
      <c r="D265" t="str">
        <f>IF(GapData[[#This Row],[income]] &lt; 0.3, "Low Income", IF(GapData[[#This Row],[income]] &lt; 0.7, "Mid Income", "High Income"))</f>
        <v>Low Income</v>
      </c>
    </row>
    <row r="266" spans="1:4">
      <c r="A266" s="3">
        <v>0.9</v>
      </c>
      <c r="B266">
        <v>1</v>
      </c>
      <c r="C266">
        <v>160</v>
      </c>
      <c r="D266" t="str">
        <f>IF(GapData[[#This Row],[income]] &lt; 0.3, "Low Income", IF(GapData[[#This Row],[income]] &lt; 0.7, "Mid Income", "High Income"))</f>
        <v>High Income</v>
      </c>
    </row>
    <row r="267" spans="1:4">
      <c r="A267" s="3">
        <v>0.8</v>
      </c>
      <c r="B267">
        <v>1</v>
      </c>
      <c r="C267">
        <v>273</v>
      </c>
      <c r="D267" t="str">
        <f>IF(GapData[[#This Row],[income]] &lt; 0.3, "Low Income", IF(GapData[[#This Row],[income]] &lt; 0.7, "Mid Income", "High Income"))</f>
        <v>High Income</v>
      </c>
    </row>
    <row r="268" spans="1:4">
      <c r="A268" s="3">
        <v>0.6</v>
      </c>
      <c r="B268">
        <v>1</v>
      </c>
      <c r="C268">
        <v>283</v>
      </c>
      <c r="D268" t="str">
        <f>IF(GapData[[#This Row],[income]] &lt; 0.3, "Low Income", IF(GapData[[#This Row],[income]] &lt; 0.7, "Mid Income", "High Income"))</f>
        <v>Mid Income</v>
      </c>
    </row>
    <row r="269" spans="1:4">
      <c r="A269" s="3">
        <v>0.8</v>
      </c>
      <c r="B269">
        <v>1</v>
      </c>
      <c r="C269">
        <v>179</v>
      </c>
      <c r="D269" t="str">
        <f>IF(GapData[[#This Row],[income]] &lt; 0.3, "Low Income", IF(GapData[[#This Row],[income]] &lt; 0.7, "Mid Income", "High Income"))</f>
        <v>High Income</v>
      </c>
    </row>
    <row r="270" spans="1:4">
      <c r="A270" s="3">
        <v>0.8</v>
      </c>
      <c r="B270">
        <v>1</v>
      </c>
      <c r="C270">
        <v>186</v>
      </c>
      <c r="D270" t="str">
        <f>IF(GapData[[#This Row],[income]] &lt; 0.3, "Low Income", IF(GapData[[#This Row],[income]] &lt; 0.7, "Mid Income", "High Income"))</f>
        <v>High Income</v>
      </c>
    </row>
    <row r="271" spans="1:4">
      <c r="A271" s="3">
        <v>0.9</v>
      </c>
      <c r="B271">
        <v>1</v>
      </c>
      <c r="C271">
        <v>230</v>
      </c>
      <c r="D271" t="str">
        <f>IF(GapData[[#This Row],[income]] &lt; 0.3, "Low Income", IF(GapData[[#This Row],[income]] &lt; 0.7, "Mid Income", "High Income"))</f>
        <v>High Income</v>
      </c>
    </row>
    <row r="272" spans="1:4">
      <c r="A272" s="3">
        <v>0.9</v>
      </c>
      <c r="B272">
        <v>1</v>
      </c>
      <c r="C272">
        <v>70</v>
      </c>
      <c r="D272" t="str">
        <f>IF(GapData[[#This Row],[income]] &lt; 0.3, "Low Income", IF(GapData[[#This Row],[income]] &lt; 0.7, "Mid Income", "High Income"))</f>
        <v>High Income</v>
      </c>
    </row>
    <row r="273" spans="1:4">
      <c r="A273" s="3">
        <v>0.9</v>
      </c>
      <c r="B273">
        <v>1</v>
      </c>
      <c r="C273">
        <v>235</v>
      </c>
      <c r="D273" t="str">
        <f>IF(GapData[[#This Row],[income]] &lt; 0.3, "Low Income", IF(GapData[[#This Row],[income]] &lt; 0.7, "Mid Income", "High Income"))</f>
        <v>High Income</v>
      </c>
    </row>
    <row r="274" spans="1:4">
      <c r="A274" s="3">
        <v>0.9</v>
      </c>
      <c r="B274">
        <v>1</v>
      </c>
      <c r="C274">
        <v>252</v>
      </c>
      <c r="D274" t="str">
        <f>IF(GapData[[#This Row],[income]] &lt; 0.3, "Low Income", IF(GapData[[#This Row],[income]] &lt; 0.7, "Mid Income", "High Income"))</f>
        <v>High Income</v>
      </c>
    </row>
    <row r="275" spans="1:4">
      <c r="A275" s="3">
        <v>0.4</v>
      </c>
      <c r="B275">
        <v>1</v>
      </c>
      <c r="C275">
        <v>127</v>
      </c>
      <c r="D275" t="str">
        <f>IF(GapData[[#This Row],[income]] &lt; 0.3, "Low Income", IF(GapData[[#This Row],[income]] &lt; 0.7, "Mid Income", "High Income"))</f>
        <v>Mid Income</v>
      </c>
    </row>
    <row r="276" spans="1:4">
      <c r="A276" s="3">
        <v>0.9</v>
      </c>
      <c r="B276">
        <v>1</v>
      </c>
      <c r="C276">
        <v>163</v>
      </c>
      <c r="D276" t="str">
        <f>IF(GapData[[#This Row],[income]] &lt; 0.3, "Low Income", IF(GapData[[#This Row],[income]] &lt; 0.7, "Mid Income", "High Income"))</f>
        <v>High Income</v>
      </c>
    </row>
    <row r="277" spans="1:4">
      <c r="A277" s="3">
        <v>0.6</v>
      </c>
      <c r="B277">
        <v>1</v>
      </c>
      <c r="C277">
        <v>91</v>
      </c>
      <c r="D277" t="str">
        <f>IF(GapData[[#This Row],[income]] &lt; 0.3, "Low Income", IF(GapData[[#This Row],[income]] &lt; 0.7, "Mid Income", "High Income"))</f>
        <v>Mid Income</v>
      </c>
    </row>
    <row r="278" spans="1:4">
      <c r="A278" s="3">
        <v>0.4</v>
      </c>
      <c r="B278">
        <v>1</v>
      </c>
      <c r="C278">
        <v>124</v>
      </c>
      <c r="D278" t="str">
        <f>IF(GapData[[#This Row],[income]] &lt; 0.3, "Low Income", IF(GapData[[#This Row],[income]] &lt; 0.7, "Mid Income", "High Income"))</f>
        <v>Mid Income</v>
      </c>
    </row>
    <row r="279" spans="1:4">
      <c r="A279" s="3">
        <v>0.4</v>
      </c>
      <c r="B279">
        <v>1</v>
      </c>
      <c r="C279">
        <v>77</v>
      </c>
      <c r="D279" t="str">
        <f>IF(GapData[[#This Row],[income]] &lt; 0.3, "Low Income", IF(GapData[[#This Row],[income]] &lt; 0.7, "Mid Income", "High Income"))</f>
        <v>Mid Income</v>
      </c>
    </row>
    <row r="280" spans="1:4">
      <c r="A280" s="3">
        <v>0.9</v>
      </c>
      <c r="B280">
        <v>1</v>
      </c>
      <c r="C280">
        <v>129</v>
      </c>
      <c r="D280" t="str">
        <f>IF(GapData[[#This Row],[income]] &lt; 0.3, "Low Income", IF(GapData[[#This Row],[income]] &lt; 0.7, "Mid Income", "High Income"))</f>
        <v>High Income</v>
      </c>
    </row>
    <row r="281" spans="1:4">
      <c r="A281" s="3">
        <v>0.8</v>
      </c>
      <c r="B281">
        <v>1</v>
      </c>
      <c r="C281">
        <v>76</v>
      </c>
      <c r="D281" t="str">
        <f>IF(GapData[[#This Row],[income]] &lt; 0.3, "Low Income", IF(GapData[[#This Row],[income]] &lt; 0.7, "Mid Income", "High Income"))</f>
        <v>High Income</v>
      </c>
    </row>
    <row r="282" spans="1:4">
      <c r="A282" s="3">
        <v>0.9</v>
      </c>
      <c r="B282">
        <v>1</v>
      </c>
      <c r="C282">
        <v>281</v>
      </c>
      <c r="D282" t="str">
        <f>IF(GapData[[#This Row],[income]] &lt; 0.3, "Low Income", IF(GapData[[#This Row],[income]] &lt; 0.7, "Mid Income", "High Income"))</f>
        <v>High Income</v>
      </c>
    </row>
    <row r="283" spans="1:4">
      <c r="A283" s="3">
        <v>0.9</v>
      </c>
      <c r="B283">
        <v>1</v>
      </c>
      <c r="C283">
        <v>260</v>
      </c>
      <c r="D283" t="str">
        <f>IF(GapData[[#This Row],[income]] &lt; 0.3, "Low Income", IF(GapData[[#This Row],[income]] &lt; 0.7, "Mid Income", "High Income"))</f>
        <v>High Income</v>
      </c>
    </row>
    <row r="284" spans="1:4">
      <c r="A284" s="3">
        <v>0.9</v>
      </c>
      <c r="B284">
        <v>1</v>
      </c>
      <c r="C284">
        <v>199</v>
      </c>
      <c r="D284" t="str">
        <f>IF(GapData[[#This Row],[income]] &lt; 0.3, "Low Income", IF(GapData[[#This Row],[income]] &lt; 0.7, "Mid Income", "High Income"))</f>
        <v>High Income</v>
      </c>
    </row>
    <row r="285" spans="1:4">
      <c r="A285" s="3">
        <v>0.4</v>
      </c>
      <c r="B285">
        <v>1</v>
      </c>
      <c r="C285">
        <v>196</v>
      </c>
      <c r="D285" t="str">
        <f>IF(GapData[[#This Row],[income]] &lt; 0.3, "Low Income", IF(GapData[[#This Row],[income]] &lt; 0.7, "Mid Income", "High Income"))</f>
        <v>Mid Income</v>
      </c>
    </row>
    <row r="286" spans="1:4">
      <c r="A286" s="3">
        <v>0.8</v>
      </c>
      <c r="B286">
        <v>1</v>
      </c>
      <c r="C286">
        <v>272</v>
      </c>
      <c r="D286" t="str">
        <f>IF(GapData[[#This Row],[income]] &lt; 0.3, "Low Income", IF(GapData[[#This Row],[income]] &lt; 0.7, "Mid Income", "High Income"))</f>
        <v>High Income</v>
      </c>
    </row>
    <row r="287" spans="1:4">
      <c r="A287" s="3">
        <v>0.8</v>
      </c>
      <c r="B287">
        <v>1</v>
      </c>
      <c r="C287">
        <v>229</v>
      </c>
      <c r="D287" t="str">
        <f>IF(GapData[[#This Row],[income]] &lt; 0.3, "Low Income", IF(GapData[[#This Row],[income]] &lt; 0.7, "Mid Income", "High Income"))</f>
        <v>High Income</v>
      </c>
    </row>
    <row r="288" spans="1:4">
      <c r="A288" s="3">
        <v>0.5</v>
      </c>
      <c r="B288">
        <v>1</v>
      </c>
      <c r="C288">
        <v>82</v>
      </c>
      <c r="D288" t="str">
        <f>IF(GapData[[#This Row],[income]] &lt; 0.3, "Low Income", IF(GapData[[#This Row],[income]] &lt; 0.7, "Mid Income", "High Income"))</f>
        <v>Mid Income</v>
      </c>
    </row>
    <row r="289" spans="1:4">
      <c r="A289" s="3">
        <v>0.7</v>
      </c>
      <c r="B289">
        <v>1</v>
      </c>
      <c r="C289">
        <v>165</v>
      </c>
      <c r="D289" t="str">
        <f>IF(GapData[[#This Row],[income]] &lt; 0.3, "Low Income", IF(GapData[[#This Row],[income]] &lt; 0.7, "Mid Income", "High Income"))</f>
        <v>High Income</v>
      </c>
    </row>
    <row r="290" spans="1:4">
      <c r="A290" s="3">
        <v>0.9</v>
      </c>
      <c r="B290">
        <v>1</v>
      </c>
      <c r="C290">
        <v>137</v>
      </c>
      <c r="D290" t="str">
        <f>IF(GapData[[#This Row],[income]] &lt; 0.3, "Low Income", IF(GapData[[#This Row],[income]] &lt; 0.7, "Mid Income", "High Income"))</f>
        <v>High Income</v>
      </c>
    </row>
    <row r="291" spans="1:4">
      <c r="A291" s="3">
        <v>0.1</v>
      </c>
      <c r="B291">
        <v>1</v>
      </c>
      <c r="C291">
        <v>184</v>
      </c>
      <c r="D291" t="str">
        <f>IF(GapData[[#This Row],[income]] &lt; 0.3, "Low Income", IF(GapData[[#This Row],[income]] &lt; 0.7, "Mid Income", "High Income"))</f>
        <v>Low Income</v>
      </c>
    </row>
    <row r="292" spans="1:4">
      <c r="A292" s="3">
        <v>0.8</v>
      </c>
      <c r="B292">
        <v>1</v>
      </c>
      <c r="C292">
        <v>172</v>
      </c>
      <c r="D292" t="str">
        <f>IF(GapData[[#This Row],[income]] &lt; 0.3, "Low Income", IF(GapData[[#This Row],[income]] &lt; 0.7, "Mid Income", "High Income"))</f>
        <v>High Income</v>
      </c>
    </row>
    <row r="293" spans="1:4">
      <c r="A293" s="3">
        <v>0.6</v>
      </c>
      <c r="B293">
        <v>1</v>
      </c>
      <c r="C293">
        <v>195</v>
      </c>
      <c r="D293" t="str">
        <f>IF(GapData[[#This Row],[income]] &lt; 0.3, "Low Income", IF(GapData[[#This Row],[income]] &lt; 0.7, "Mid Income", "High Income"))</f>
        <v>Mid Income</v>
      </c>
    </row>
    <row r="294" spans="1:4">
      <c r="A294" s="3">
        <v>0.9</v>
      </c>
      <c r="B294">
        <v>1</v>
      </c>
      <c r="C294">
        <v>234</v>
      </c>
      <c r="D294" t="str">
        <f>IF(GapData[[#This Row],[income]] &lt; 0.3, "Low Income", IF(GapData[[#This Row],[income]] &lt; 0.7, "Mid Income", "High Income"))</f>
        <v>High Income</v>
      </c>
    </row>
    <row r="295" spans="1:4">
      <c r="A295" s="3">
        <v>0.7</v>
      </c>
      <c r="B295">
        <v>1</v>
      </c>
      <c r="C295">
        <v>92</v>
      </c>
      <c r="D295" t="str">
        <f>IF(GapData[[#This Row],[income]] &lt; 0.3, "Low Income", IF(GapData[[#This Row],[income]] &lt; 0.7, "Mid Income", "High Income"))</f>
        <v>High Income</v>
      </c>
    </row>
    <row r="296" spans="1:4">
      <c r="A296" s="3">
        <v>0.9</v>
      </c>
      <c r="B296">
        <v>1</v>
      </c>
      <c r="C296">
        <v>241</v>
      </c>
      <c r="D296" t="str">
        <f>IF(GapData[[#This Row],[income]] &lt; 0.3, "Low Income", IF(GapData[[#This Row],[income]] &lt; 0.7, "Mid Income", "High Income"))</f>
        <v>High Income</v>
      </c>
    </row>
    <row r="297" spans="1:4">
      <c r="A297" s="3">
        <v>0.9</v>
      </c>
      <c r="B297">
        <v>1</v>
      </c>
      <c r="C297">
        <v>181</v>
      </c>
      <c r="D297" t="str">
        <f>IF(GapData[[#This Row],[income]] &lt; 0.3, "Low Income", IF(GapData[[#This Row],[income]] &lt; 0.7, "Mid Income", "High Income"))</f>
        <v>High Income</v>
      </c>
    </row>
    <row r="298" spans="1:4">
      <c r="A298" s="3">
        <v>0.6</v>
      </c>
      <c r="B298">
        <v>1</v>
      </c>
      <c r="C298">
        <v>138</v>
      </c>
      <c r="D298" t="str">
        <f>IF(GapData[[#This Row],[income]] &lt; 0.3, "Low Income", IF(GapData[[#This Row],[income]] &lt; 0.7, "Mid Income", "High Income"))</f>
        <v>Mid Income</v>
      </c>
    </row>
    <row r="299" spans="1:4">
      <c r="A299" s="3">
        <v>0.6</v>
      </c>
      <c r="B299">
        <v>1</v>
      </c>
      <c r="C299">
        <v>95</v>
      </c>
      <c r="D299" t="str">
        <f>IF(GapData[[#This Row],[income]] &lt; 0.3, "Low Income", IF(GapData[[#This Row],[income]] &lt; 0.7, "Mid Income", "High Income"))</f>
        <v>Mid Income</v>
      </c>
    </row>
    <row r="300" spans="1:4">
      <c r="A300" s="3">
        <v>0.9</v>
      </c>
      <c r="B300">
        <v>1</v>
      </c>
      <c r="C300">
        <v>257</v>
      </c>
      <c r="D300" t="str">
        <f>IF(GapData[[#This Row],[income]] &lt; 0.3, "Low Income", IF(GapData[[#This Row],[income]] &lt; 0.7, "Mid Income", "High Income"))</f>
        <v>High Income</v>
      </c>
    </row>
    <row r="301" spans="1:4">
      <c r="A301" s="3">
        <v>0.6</v>
      </c>
      <c r="B301">
        <v>1</v>
      </c>
      <c r="C301">
        <v>79</v>
      </c>
      <c r="D301" t="str">
        <f>IF(GapData[[#This Row],[income]] &lt; 0.3, "Low Income", IF(GapData[[#This Row],[income]] &lt; 0.7, "Mid Income", "High Income"))</f>
        <v>Mid Income</v>
      </c>
    </row>
    <row r="302" spans="1:4">
      <c r="A302" s="3">
        <v>0.1</v>
      </c>
      <c r="B302">
        <v>1</v>
      </c>
      <c r="C302">
        <v>268</v>
      </c>
      <c r="D302" t="str">
        <f>IF(GapData[[#This Row],[income]] &lt; 0.3, "Low Income", IF(GapData[[#This Row],[income]] &lt; 0.7, "Mid Income", "High Income"))</f>
        <v>Low Income</v>
      </c>
    </row>
    <row r="303" spans="1:4">
      <c r="A303" s="3">
        <v>0.9</v>
      </c>
      <c r="B303">
        <v>1</v>
      </c>
      <c r="C303">
        <v>211</v>
      </c>
      <c r="D303" t="str">
        <f>IF(GapData[[#This Row],[income]] &lt; 0.3, "Low Income", IF(GapData[[#This Row],[income]] &lt; 0.7, "Mid Income", "High Income"))</f>
        <v>High Income</v>
      </c>
    </row>
    <row r="304" spans="1:4">
      <c r="A304" s="3">
        <v>0.4</v>
      </c>
      <c r="B304">
        <v>1</v>
      </c>
      <c r="C304">
        <v>220</v>
      </c>
      <c r="D304" t="str">
        <f>IF(GapData[[#This Row],[income]] &lt; 0.3, "Low Income", IF(GapData[[#This Row],[income]] &lt; 0.7, "Mid Income", "High Income"))</f>
        <v>Mid Income</v>
      </c>
    </row>
    <row r="305" spans="1:4">
      <c r="A305" s="3">
        <v>0.9</v>
      </c>
      <c r="B305">
        <v>1</v>
      </c>
      <c r="C305">
        <v>125</v>
      </c>
      <c r="D305" t="str">
        <f>IF(GapData[[#This Row],[income]] &lt; 0.3, "Low Income", IF(GapData[[#This Row],[income]] &lt; 0.7, "Mid Income", "High Income"))</f>
        <v>High Income</v>
      </c>
    </row>
    <row r="306" spans="1:4">
      <c r="A306" s="3">
        <v>0.9</v>
      </c>
      <c r="B306">
        <v>1</v>
      </c>
      <c r="C306">
        <v>246</v>
      </c>
      <c r="D306" t="str">
        <f>IF(GapData[[#This Row],[income]] &lt; 0.3, "Low Income", IF(GapData[[#This Row],[income]] &lt; 0.7, "Mid Income", "High Income"))</f>
        <v>High Income</v>
      </c>
    </row>
    <row r="307" spans="1:4">
      <c r="A307" s="3">
        <v>0.2</v>
      </c>
      <c r="B307">
        <v>1</v>
      </c>
      <c r="C307">
        <v>213</v>
      </c>
      <c r="D307" t="str">
        <f>IF(GapData[[#This Row],[income]] &lt; 0.3, "Low Income", IF(GapData[[#This Row],[income]] &lt; 0.7, "Mid Income", "High Income"))</f>
        <v>Low Income</v>
      </c>
    </row>
    <row r="308" spans="1:4">
      <c r="A308" s="3">
        <v>0.3</v>
      </c>
      <c r="B308">
        <v>1</v>
      </c>
      <c r="C308">
        <v>161</v>
      </c>
      <c r="D308" t="str">
        <f>IF(GapData[[#This Row],[income]] &lt; 0.3, "Low Income", IF(GapData[[#This Row],[income]] &lt; 0.7, "Mid Income", "High Income"))</f>
        <v>Mid Income</v>
      </c>
    </row>
    <row r="309" spans="1:4">
      <c r="A309" s="3">
        <v>0.9</v>
      </c>
      <c r="B309">
        <v>1</v>
      </c>
      <c r="C309">
        <v>239</v>
      </c>
      <c r="D309" t="str">
        <f>IF(GapData[[#This Row],[income]] &lt; 0.3, "Low Income", IF(GapData[[#This Row],[income]] &lt; 0.7, "Mid Income", "High Income"))</f>
        <v>High Income</v>
      </c>
    </row>
    <row r="310" spans="1:4">
      <c r="A310" s="3">
        <v>0.2</v>
      </c>
      <c r="B310">
        <v>1</v>
      </c>
      <c r="C310">
        <v>132</v>
      </c>
      <c r="D310" t="str">
        <f>IF(GapData[[#This Row],[income]] &lt; 0.3, "Low Income", IF(GapData[[#This Row],[income]] &lt; 0.7, "Mid Income", "High Income"))</f>
        <v>Low Income</v>
      </c>
    </row>
    <row r="311" spans="1:4">
      <c r="A311" s="3">
        <v>0.9</v>
      </c>
      <c r="B311">
        <v>1</v>
      </c>
      <c r="C311">
        <v>245</v>
      </c>
      <c r="D311" t="str">
        <f>IF(GapData[[#This Row],[income]] &lt; 0.3, "Low Income", IF(GapData[[#This Row],[income]] &lt; 0.7, "Mid Income", "High Income"))</f>
        <v>High Income</v>
      </c>
    </row>
    <row r="312" spans="1:4">
      <c r="A312" s="3">
        <v>0.4</v>
      </c>
      <c r="B312">
        <v>1</v>
      </c>
      <c r="C312">
        <v>180</v>
      </c>
      <c r="D312" t="str">
        <f>IF(GapData[[#This Row],[income]] &lt; 0.3, "Low Income", IF(GapData[[#This Row],[income]] &lt; 0.7, "Mid Income", "High Income"))</f>
        <v>Mid Income</v>
      </c>
    </row>
    <row r="313" spans="1:4">
      <c r="A313" s="3">
        <v>0.7</v>
      </c>
      <c r="B313">
        <v>1</v>
      </c>
      <c r="C313">
        <v>99</v>
      </c>
      <c r="D313" t="str">
        <f>IF(GapData[[#This Row],[income]] &lt; 0.3, "Low Income", IF(GapData[[#This Row],[income]] &lt; 0.7, "Mid Income", "High Income"))</f>
        <v>High Income</v>
      </c>
    </row>
    <row r="314" spans="1:4">
      <c r="A314" s="3">
        <v>0.9</v>
      </c>
      <c r="B314">
        <v>1</v>
      </c>
      <c r="C314">
        <v>236</v>
      </c>
      <c r="D314" t="str">
        <f>IF(GapData[[#This Row],[income]] &lt; 0.3, "Low Income", IF(GapData[[#This Row],[income]] &lt; 0.7, "Mid Income", "High Income"))</f>
        <v>High Income</v>
      </c>
    </row>
    <row r="315" spans="1:4">
      <c r="A315" s="3">
        <v>0.9</v>
      </c>
      <c r="B315">
        <v>1</v>
      </c>
      <c r="C315">
        <v>118</v>
      </c>
      <c r="D315" t="str">
        <f>IF(GapData[[#This Row],[income]] &lt; 0.3, "Low Income", IF(GapData[[#This Row],[income]] &lt; 0.7, "Mid Income", "High Income"))</f>
        <v>High Income</v>
      </c>
    </row>
    <row r="316" spans="1:4">
      <c r="A316" s="3">
        <v>0.9</v>
      </c>
      <c r="B316">
        <v>1</v>
      </c>
      <c r="C316">
        <v>253</v>
      </c>
      <c r="D316" t="str">
        <f>IF(GapData[[#This Row],[income]] &lt; 0.3, "Low Income", IF(GapData[[#This Row],[income]] &lt; 0.7, "Mid Income", "High Income"))</f>
        <v>High Income</v>
      </c>
    </row>
    <row r="317" spans="1:4">
      <c r="A317" s="3">
        <v>0.9</v>
      </c>
      <c r="B317">
        <v>1</v>
      </c>
      <c r="C317">
        <v>267</v>
      </c>
      <c r="D317" t="str">
        <f>IF(GapData[[#This Row],[income]] &lt; 0.3, "Low Income", IF(GapData[[#This Row],[income]] &lt; 0.7, "Mid Income", "High Income"))</f>
        <v>High Income</v>
      </c>
    </row>
    <row r="318" spans="1:4">
      <c r="A318" s="3">
        <v>0.1</v>
      </c>
      <c r="B318">
        <v>1</v>
      </c>
      <c r="C318">
        <v>188</v>
      </c>
      <c r="D318" t="str">
        <f>IF(GapData[[#This Row],[income]] &lt; 0.3, "Low Income", IF(GapData[[#This Row],[income]] &lt; 0.7, "Mid Income", "High Income"))</f>
        <v>Low Income</v>
      </c>
    </row>
    <row r="319" spans="1:4">
      <c r="A319" s="3">
        <v>0.5</v>
      </c>
      <c r="B319">
        <v>1</v>
      </c>
      <c r="C319">
        <v>71</v>
      </c>
      <c r="D319" t="str">
        <f>IF(GapData[[#This Row],[income]] &lt; 0.3, "Low Income", IF(GapData[[#This Row],[income]] &lt; 0.7, "Mid Income", "High Income"))</f>
        <v>Mid Income</v>
      </c>
    </row>
    <row r="320" spans="1:4">
      <c r="A320" s="3">
        <v>0.9</v>
      </c>
      <c r="B320">
        <v>1</v>
      </c>
      <c r="C320">
        <v>172</v>
      </c>
      <c r="D320" t="str">
        <f>IF(GapData[[#This Row],[income]] &lt; 0.3, "Low Income", IF(GapData[[#This Row],[income]] &lt; 0.7, "Mid Income", "High Income"))</f>
        <v>High Income</v>
      </c>
    </row>
    <row r="321" spans="1:4">
      <c r="A321" s="3">
        <v>0.9</v>
      </c>
      <c r="B321">
        <v>1</v>
      </c>
      <c r="C321">
        <v>183</v>
      </c>
      <c r="D321" t="str">
        <f>IF(GapData[[#This Row],[income]] &lt; 0.3, "Low Income", IF(GapData[[#This Row],[income]] &lt; 0.7, "Mid Income", "High Income"))</f>
        <v>High Income</v>
      </c>
    </row>
    <row r="322" spans="1:4">
      <c r="A322" s="3">
        <v>0.9</v>
      </c>
      <c r="B322">
        <v>1</v>
      </c>
      <c r="C322">
        <v>89</v>
      </c>
      <c r="D322" t="str">
        <f>IF(GapData[[#This Row],[income]] &lt; 0.3, "Low Income", IF(GapData[[#This Row],[income]] &lt; 0.7, "Mid Income", "High Income"))</f>
        <v>High Income</v>
      </c>
    </row>
    <row r="323" spans="1:4">
      <c r="A323" s="3">
        <v>0.6</v>
      </c>
      <c r="B323">
        <v>1</v>
      </c>
      <c r="C323">
        <v>181</v>
      </c>
      <c r="D323" t="str">
        <f>IF(GapData[[#This Row],[income]] &lt; 0.3, "Low Income", IF(GapData[[#This Row],[income]] &lt; 0.7, "Mid Income", "High Income"))</f>
        <v>Mid Income</v>
      </c>
    </row>
    <row r="324" spans="1:4">
      <c r="A324" s="3">
        <v>0.1</v>
      </c>
      <c r="B324">
        <v>1</v>
      </c>
      <c r="C324">
        <v>103</v>
      </c>
      <c r="D324" t="str">
        <f>IF(GapData[[#This Row],[income]] &lt; 0.3, "Low Income", IF(GapData[[#This Row],[income]] &lt; 0.7, "Mid Income", "High Income"))</f>
        <v>Low Income</v>
      </c>
    </row>
    <row r="325" spans="1:4">
      <c r="A325" s="3">
        <v>0.6</v>
      </c>
      <c r="B325">
        <v>1</v>
      </c>
      <c r="C325">
        <v>60</v>
      </c>
      <c r="D325" t="str">
        <f>IF(GapData[[#This Row],[income]] &lt; 0.3, "Low Income", IF(GapData[[#This Row],[income]] &lt; 0.7, "Mid Income", "High Income"))</f>
        <v>Mid Income</v>
      </c>
    </row>
    <row r="326" spans="1:4">
      <c r="A326" s="3">
        <v>0.7</v>
      </c>
      <c r="B326">
        <v>1</v>
      </c>
      <c r="C326">
        <v>99</v>
      </c>
      <c r="D326" t="str">
        <f>IF(GapData[[#This Row],[income]] &lt; 0.3, "Low Income", IF(GapData[[#This Row],[income]] &lt; 0.7, "Mid Income", "High Income"))</f>
        <v>High Income</v>
      </c>
    </row>
    <row r="327" spans="1:4">
      <c r="A327" s="3">
        <v>0.7</v>
      </c>
      <c r="B327">
        <v>1</v>
      </c>
      <c r="C327">
        <v>97</v>
      </c>
      <c r="D327" t="str">
        <f>IF(GapData[[#This Row],[income]] &lt; 0.3, "Low Income", IF(GapData[[#This Row],[income]] &lt; 0.7, "Mid Income", "High Income"))</f>
        <v>High Income</v>
      </c>
    </row>
    <row r="328" spans="1:4">
      <c r="A328" s="3">
        <v>0.7</v>
      </c>
      <c r="B328">
        <v>1</v>
      </c>
      <c r="C328">
        <v>62</v>
      </c>
      <c r="D328" t="str">
        <f>IF(GapData[[#This Row],[income]] &lt; 0.3, "Low Income", IF(GapData[[#This Row],[income]] &lt; 0.7, "Mid Income", "High Income"))</f>
        <v>High Income</v>
      </c>
    </row>
    <row r="329" spans="1:4">
      <c r="A329" s="3">
        <v>0.7</v>
      </c>
      <c r="B329">
        <v>1</v>
      </c>
      <c r="C329">
        <v>119</v>
      </c>
      <c r="D329" t="str">
        <f>IF(GapData[[#This Row],[income]] &lt; 0.3, "Low Income", IF(GapData[[#This Row],[income]] &lt; 0.7, "Mid Income", "High Income"))</f>
        <v>High Income</v>
      </c>
    </row>
    <row r="330" spans="1:4">
      <c r="A330" s="3">
        <v>0.2</v>
      </c>
      <c r="B330">
        <v>1</v>
      </c>
      <c r="C330">
        <v>79</v>
      </c>
      <c r="D330" t="str">
        <f>IF(GapData[[#This Row],[income]] &lt; 0.3, "Low Income", IF(GapData[[#This Row],[income]] &lt; 0.7, "Mid Income", "High Income"))</f>
        <v>Low Income</v>
      </c>
    </row>
    <row r="331" spans="1:4">
      <c r="A331" s="3">
        <v>0.6</v>
      </c>
      <c r="B331">
        <v>1</v>
      </c>
      <c r="C331">
        <v>68</v>
      </c>
      <c r="D331" t="str">
        <f>IF(GapData[[#This Row],[income]] &lt; 0.3, "Low Income", IF(GapData[[#This Row],[income]] &lt; 0.7, "Mid Income", "High Income"))</f>
        <v>Mid Income</v>
      </c>
    </row>
    <row r="332" spans="1:4">
      <c r="A332" s="3">
        <v>0.1</v>
      </c>
      <c r="B332">
        <v>1</v>
      </c>
      <c r="C332">
        <v>89</v>
      </c>
      <c r="D332" t="str">
        <f>IF(GapData[[#This Row],[income]] &lt; 0.3, "Low Income", IF(GapData[[#This Row],[income]] &lt; 0.7, "Mid Income", "High Income"))</f>
        <v>Low Income</v>
      </c>
    </row>
    <row r="333" spans="1:4">
      <c r="A333" s="3">
        <v>0.9</v>
      </c>
      <c r="B333">
        <v>1</v>
      </c>
      <c r="C333">
        <v>142</v>
      </c>
      <c r="D333" t="str">
        <f>IF(GapData[[#This Row],[income]] &lt; 0.3, "Low Income", IF(GapData[[#This Row],[income]] &lt; 0.7, "Mid Income", "High Income"))</f>
        <v>High Income</v>
      </c>
    </row>
    <row r="334" spans="1:4">
      <c r="A334" s="3">
        <v>0.2</v>
      </c>
      <c r="B334">
        <v>1</v>
      </c>
      <c r="C334">
        <v>-87</v>
      </c>
      <c r="D334" t="str">
        <f>IF(GapData[[#This Row],[income]] &lt; 0.3, "Low Income", IF(GapData[[#This Row],[income]] &lt; 0.7, "Mid Income", "High Income"))</f>
        <v>Low Income</v>
      </c>
    </row>
    <row r="335" spans="1:4">
      <c r="A335" s="3">
        <v>0.8</v>
      </c>
      <c r="B335">
        <v>1</v>
      </c>
      <c r="C335">
        <v>14</v>
      </c>
      <c r="D335" t="str">
        <f>IF(GapData[[#This Row],[income]] &lt; 0.3, "Low Income", IF(GapData[[#This Row],[income]] &lt; 0.7, "Mid Income", "High Income"))</f>
        <v>High Income</v>
      </c>
    </row>
    <row r="336" spans="1:4">
      <c r="A336" s="3">
        <v>0.8</v>
      </c>
      <c r="B336">
        <v>1</v>
      </c>
      <c r="C336">
        <v>187</v>
      </c>
      <c r="D336" t="str">
        <f>IF(GapData[[#This Row],[income]] &lt; 0.3, "Low Income", IF(GapData[[#This Row],[income]] &lt; 0.7, "Mid Income", "High Income"))</f>
        <v>High Income</v>
      </c>
    </row>
    <row r="337" spans="1:4">
      <c r="A337" s="3">
        <v>0.9</v>
      </c>
      <c r="B337">
        <v>1</v>
      </c>
      <c r="C337">
        <v>100</v>
      </c>
      <c r="D337" t="str">
        <f>IF(GapData[[#This Row],[income]] &lt; 0.3, "Low Income", IF(GapData[[#This Row],[income]] &lt; 0.7, "Mid Income", "High Income"))</f>
        <v>High Income</v>
      </c>
    </row>
    <row r="338" spans="1:4">
      <c r="A338" s="3">
        <v>0.1</v>
      </c>
      <c r="B338">
        <v>1</v>
      </c>
      <c r="C338">
        <v>128</v>
      </c>
      <c r="D338" t="str">
        <f>IF(GapData[[#This Row],[income]] &lt; 0.3, "Low Income", IF(GapData[[#This Row],[income]] &lt; 0.7, "Mid Income", "High Income"))</f>
        <v>Low Income</v>
      </c>
    </row>
    <row r="339" spans="1:4">
      <c r="A339" s="3">
        <v>0.7</v>
      </c>
      <c r="B339">
        <v>1</v>
      </c>
      <c r="C339">
        <v>157</v>
      </c>
      <c r="D339" t="str">
        <f>IF(GapData[[#This Row],[income]] &lt; 0.3, "Low Income", IF(GapData[[#This Row],[income]] &lt; 0.7, "Mid Income", "High Income"))</f>
        <v>High Income</v>
      </c>
    </row>
    <row r="340" spans="1:4">
      <c r="A340" s="3">
        <v>0.8</v>
      </c>
      <c r="B340">
        <v>1</v>
      </c>
      <c r="C340">
        <v>188</v>
      </c>
      <c r="D340" t="str">
        <f>IF(GapData[[#This Row],[income]] &lt; 0.3, "Low Income", IF(GapData[[#This Row],[income]] &lt; 0.7, "Mid Income", "High Income"))</f>
        <v>High Income</v>
      </c>
    </row>
    <row r="341" spans="1:4">
      <c r="A341" s="3">
        <v>0.1</v>
      </c>
      <c r="B341">
        <v>1</v>
      </c>
      <c r="C341">
        <v>67</v>
      </c>
      <c r="D341" t="str">
        <f>IF(GapData[[#This Row],[income]] &lt; 0.3, "Low Income", IF(GapData[[#This Row],[income]] &lt; 0.7, "Mid Income", "High Income"))</f>
        <v>Low Income</v>
      </c>
    </row>
    <row r="342" spans="1:4">
      <c r="A342" s="3">
        <v>0.7</v>
      </c>
      <c r="B342">
        <v>1</v>
      </c>
      <c r="C342">
        <v>261</v>
      </c>
      <c r="D342" t="str">
        <f>IF(GapData[[#This Row],[income]] &lt; 0.3, "Low Income", IF(GapData[[#This Row],[income]] &lt; 0.7, "Mid Income", "High Income"))</f>
        <v>High Income</v>
      </c>
    </row>
    <row r="343" spans="1:4">
      <c r="A343" s="3">
        <v>0.2</v>
      </c>
      <c r="B343">
        <v>1</v>
      </c>
      <c r="C343">
        <v>210</v>
      </c>
      <c r="D343" t="str">
        <f>IF(GapData[[#This Row],[income]] &lt; 0.3, "Low Income", IF(GapData[[#This Row],[income]] &lt; 0.7, "Mid Income", "High Income"))</f>
        <v>Low Income</v>
      </c>
    </row>
    <row r="344" spans="1:4">
      <c r="A344" s="3">
        <v>0.9</v>
      </c>
      <c r="B344">
        <v>1</v>
      </c>
      <c r="C344">
        <v>73</v>
      </c>
      <c r="D344" t="str">
        <f>IF(GapData[[#This Row],[income]] &lt; 0.3, "Low Income", IF(GapData[[#This Row],[income]] &lt; 0.7, "Mid Income", "High Income"))</f>
        <v>High Income</v>
      </c>
    </row>
    <row r="345" spans="1:4">
      <c r="A345" s="3">
        <v>0.9</v>
      </c>
      <c r="B345">
        <v>1</v>
      </c>
      <c r="C345">
        <v>119</v>
      </c>
      <c r="D345" t="str">
        <f>IF(GapData[[#This Row],[income]] &lt; 0.3, "Low Income", IF(GapData[[#This Row],[income]] &lt; 0.7, "Mid Income", "High Income"))</f>
        <v>High Income</v>
      </c>
    </row>
    <row r="346" spans="1:4">
      <c r="A346" s="3">
        <v>0.9</v>
      </c>
      <c r="B346">
        <v>1</v>
      </c>
      <c r="C346">
        <v>271</v>
      </c>
      <c r="D346" t="str">
        <f>IF(GapData[[#This Row],[income]] &lt; 0.3, "Low Income", IF(GapData[[#This Row],[income]] &lt; 0.7, "Mid Income", "High Income"))</f>
        <v>High Income</v>
      </c>
    </row>
    <row r="347" spans="1:4">
      <c r="A347" s="3">
        <v>0.3</v>
      </c>
      <c r="B347">
        <v>1</v>
      </c>
      <c r="C347">
        <v>155</v>
      </c>
      <c r="D347" t="str">
        <f>IF(GapData[[#This Row],[income]] &lt; 0.3, "Low Income", IF(GapData[[#This Row],[income]] &lt; 0.7, "Mid Income", "High Income"))</f>
        <v>Mid Income</v>
      </c>
    </row>
    <row r="348" spans="1:4">
      <c r="A348" s="3">
        <v>0.3</v>
      </c>
      <c r="B348">
        <v>1</v>
      </c>
      <c r="C348">
        <v>62</v>
      </c>
      <c r="D348" t="str">
        <f>IF(GapData[[#This Row],[income]] &lt; 0.3, "Low Income", IF(GapData[[#This Row],[income]] &lt; 0.7, "Mid Income", "High Income"))</f>
        <v>Mid Income</v>
      </c>
    </row>
    <row r="349" spans="1:4">
      <c r="A349" s="3">
        <v>0.9</v>
      </c>
      <c r="B349">
        <v>1</v>
      </c>
      <c r="C349">
        <v>186</v>
      </c>
      <c r="D349" t="str">
        <f>IF(GapData[[#This Row],[income]] &lt; 0.3, "Low Income", IF(GapData[[#This Row],[income]] &lt; 0.7, "Mid Income", "High Income"))</f>
        <v>High Income</v>
      </c>
    </row>
    <row r="350" spans="1:4">
      <c r="A350" s="3">
        <v>0.6</v>
      </c>
      <c r="B350">
        <v>1</v>
      </c>
      <c r="C350">
        <v>58</v>
      </c>
      <c r="D350" t="str">
        <f>IF(GapData[[#This Row],[income]] &lt; 0.3, "Low Income", IF(GapData[[#This Row],[income]] &lt; 0.7, "Mid Income", "High Income"))</f>
        <v>Mid Income</v>
      </c>
    </row>
    <row r="351" spans="1:4">
      <c r="A351" s="3">
        <v>0.4</v>
      </c>
      <c r="B351">
        <v>1</v>
      </c>
      <c r="C351">
        <v>240</v>
      </c>
      <c r="D351" t="str">
        <f>IF(GapData[[#This Row],[income]] &lt; 0.3, "Low Income", IF(GapData[[#This Row],[income]] &lt; 0.7, "Mid Income", "High Income"))</f>
        <v>Mid Income</v>
      </c>
    </row>
    <row r="352" spans="1:4">
      <c r="A352" s="3">
        <v>0.9</v>
      </c>
      <c r="B352">
        <v>1</v>
      </c>
      <c r="C352">
        <v>153</v>
      </c>
      <c r="D352" t="str">
        <f>IF(GapData[[#This Row],[income]] &lt; 0.3, "Low Income", IF(GapData[[#This Row],[income]] &lt; 0.7, "Mid Income", "High Income"))</f>
        <v>High Income</v>
      </c>
    </row>
    <row r="353" spans="1:4">
      <c r="A353" s="3">
        <v>0.3</v>
      </c>
      <c r="B353">
        <v>1</v>
      </c>
      <c r="C353">
        <v>80</v>
      </c>
      <c r="D353" t="str">
        <f>IF(GapData[[#This Row],[income]] &lt; 0.3, "Low Income", IF(GapData[[#This Row],[income]] &lt; 0.7, "Mid Income", "High Income"))</f>
        <v>Mid Income</v>
      </c>
    </row>
    <row r="354" spans="1:4">
      <c r="A354" s="3">
        <v>0.9</v>
      </c>
      <c r="B354">
        <v>1</v>
      </c>
      <c r="C354">
        <v>277</v>
      </c>
      <c r="D354" t="str">
        <f>IF(GapData[[#This Row],[income]] &lt; 0.3, "Low Income", IF(GapData[[#This Row],[income]] &lt; 0.7, "Mid Income", "High Income"))</f>
        <v>High Income</v>
      </c>
    </row>
    <row r="355" spans="1:4">
      <c r="A355" s="3">
        <v>0.9</v>
      </c>
      <c r="B355">
        <v>1</v>
      </c>
      <c r="C355">
        <v>175</v>
      </c>
      <c r="D355" t="str">
        <f>IF(GapData[[#This Row],[income]] &lt; 0.3, "Low Income", IF(GapData[[#This Row],[income]] &lt; 0.7, "Mid Income", "High Income"))</f>
        <v>High Income</v>
      </c>
    </row>
    <row r="356" spans="1:4">
      <c r="A356" s="3">
        <v>0.7</v>
      </c>
      <c r="B356">
        <v>1</v>
      </c>
      <c r="C356">
        <v>143</v>
      </c>
      <c r="D356" t="str">
        <f>IF(GapData[[#This Row],[income]] &lt; 0.3, "Low Income", IF(GapData[[#This Row],[income]] &lt; 0.7, "Mid Income", "High Income"))</f>
        <v>High Income</v>
      </c>
    </row>
    <row r="357" spans="1:4">
      <c r="A357" s="3">
        <v>0.9</v>
      </c>
      <c r="B357">
        <v>1</v>
      </c>
      <c r="C357">
        <v>162</v>
      </c>
      <c r="D357" t="str">
        <f>IF(GapData[[#This Row],[income]] &lt; 0.3, "Low Income", IF(GapData[[#This Row],[income]] &lt; 0.7, "Mid Income", "High Income"))</f>
        <v>High Income</v>
      </c>
    </row>
    <row r="358" spans="1:4">
      <c r="A358" s="3">
        <v>0.9</v>
      </c>
      <c r="B358">
        <v>1</v>
      </c>
      <c r="C358">
        <v>146</v>
      </c>
      <c r="D358" t="str">
        <f>IF(GapData[[#This Row],[income]] &lt; 0.3, "Low Income", IF(GapData[[#This Row],[income]] &lt; 0.7, "Mid Income", "High Income"))</f>
        <v>High Income</v>
      </c>
    </row>
    <row r="359" spans="1:4">
      <c r="A359" s="3">
        <v>0.6</v>
      </c>
      <c r="B359">
        <v>1</v>
      </c>
      <c r="C359">
        <v>271</v>
      </c>
      <c r="D359" t="str">
        <f>IF(GapData[[#This Row],[income]] &lt; 0.3, "Low Income", IF(GapData[[#This Row],[income]] &lt; 0.7, "Mid Income", "High Income"))</f>
        <v>Mid Income</v>
      </c>
    </row>
    <row r="360" spans="1:4">
      <c r="A360" s="3">
        <v>0.9</v>
      </c>
      <c r="B360">
        <v>1</v>
      </c>
      <c r="C360">
        <v>165</v>
      </c>
      <c r="D360" t="str">
        <f>IF(GapData[[#This Row],[income]] &lt; 0.3, "Low Income", IF(GapData[[#This Row],[income]] &lt; 0.7, "Mid Income", "High Income"))</f>
        <v>High Income</v>
      </c>
    </row>
    <row r="361" spans="1:4">
      <c r="A361" s="3">
        <v>0.9</v>
      </c>
      <c r="B361">
        <v>1</v>
      </c>
      <c r="C361">
        <v>130</v>
      </c>
      <c r="D361" t="str">
        <f>IF(GapData[[#This Row],[income]] &lt; 0.3, "Low Income", IF(GapData[[#This Row],[income]] &lt; 0.7, "Mid Income", "High Income"))</f>
        <v>High Income</v>
      </c>
    </row>
    <row r="362" spans="1:4">
      <c r="A362" s="3">
        <v>0.9</v>
      </c>
      <c r="B362">
        <v>1</v>
      </c>
      <c r="C362">
        <v>209</v>
      </c>
      <c r="D362" t="str">
        <f>IF(GapData[[#This Row],[income]] &lt; 0.3, "Low Income", IF(GapData[[#This Row],[income]] &lt; 0.7, "Mid Income", "High Income"))</f>
        <v>High Income</v>
      </c>
    </row>
    <row r="363" spans="1:4">
      <c r="A363" s="3">
        <v>0.1</v>
      </c>
      <c r="B363">
        <v>1</v>
      </c>
      <c r="C363">
        <v>87</v>
      </c>
      <c r="D363" t="str">
        <f>IF(GapData[[#This Row],[income]] &lt; 0.3, "Low Income", IF(GapData[[#This Row],[income]] &lt; 0.7, "Mid Income", "High Income"))</f>
        <v>Low Income</v>
      </c>
    </row>
    <row r="364" spans="1:4">
      <c r="A364" s="3">
        <v>0.9</v>
      </c>
      <c r="B364">
        <v>1</v>
      </c>
      <c r="C364">
        <v>117</v>
      </c>
      <c r="D364" t="str">
        <f>IF(GapData[[#This Row],[income]] &lt; 0.3, "Low Income", IF(GapData[[#This Row],[income]] &lt; 0.7, "Mid Income", "High Income"))</f>
        <v>High Income</v>
      </c>
    </row>
    <row r="365" spans="1:4">
      <c r="A365" s="3">
        <v>0.9</v>
      </c>
      <c r="B365">
        <v>1</v>
      </c>
      <c r="C365">
        <v>246</v>
      </c>
      <c r="D365" t="str">
        <f>IF(GapData[[#This Row],[income]] &lt; 0.3, "Low Income", IF(GapData[[#This Row],[income]] &lt; 0.7, "Mid Income", "High Income"))</f>
        <v>High Income</v>
      </c>
    </row>
    <row r="366" spans="1:4">
      <c r="A366" s="3">
        <v>0.8</v>
      </c>
      <c r="B366">
        <v>1</v>
      </c>
      <c r="C366">
        <v>127</v>
      </c>
      <c r="D366" t="str">
        <f>IF(GapData[[#This Row],[income]] &lt; 0.3, "Low Income", IF(GapData[[#This Row],[income]] &lt; 0.7, "Mid Income", "High Income"))</f>
        <v>High Income</v>
      </c>
    </row>
    <row r="367" spans="1:4">
      <c r="A367" s="3">
        <v>0.8</v>
      </c>
      <c r="B367">
        <v>1</v>
      </c>
      <c r="C367">
        <v>106</v>
      </c>
      <c r="D367" t="str">
        <f>IF(GapData[[#This Row],[income]] &lt; 0.3, "Low Income", IF(GapData[[#This Row],[income]] &lt; 0.7, "Mid Income", "High Income"))</f>
        <v>High Income</v>
      </c>
    </row>
    <row r="368" spans="1:4">
      <c r="A368" s="3">
        <v>0.9</v>
      </c>
      <c r="B368">
        <v>1</v>
      </c>
      <c r="C368">
        <v>207</v>
      </c>
      <c r="D368" t="str">
        <f>IF(GapData[[#This Row],[income]] &lt; 0.3, "Low Income", IF(GapData[[#This Row],[income]] &lt; 0.7, "Mid Income", "High Income"))</f>
        <v>High Income</v>
      </c>
    </row>
    <row r="369" spans="1:4">
      <c r="A369" s="3">
        <v>0.1</v>
      </c>
      <c r="B369">
        <v>1</v>
      </c>
      <c r="C369">
        <v>160</v>
      </c>
      <c r="D369" t="str">
        <f>IF(GapData[[#This Row],[income]] &lt; 0.3, "Low Income", IF(GapData[[#This Row],[income]] &lt; 0.7, "Mid Income", "High Income"))</f>
        <v>Low Income</v>
      </c>
    </row>
    <row r="370" spans="1:4">
      <c r="A370" s="3">
        <v>0.6</v>
      </c>
      <c r="B370">
        <v>1</v>
      </c>
      <c r="C370">
        <v>180</v>
      </c>
      <c r="D370" t="str">
        <f>IF(GapData[[#This Row],[income]] &lt; 0.3, "Low Income", IF(GapData[[#This Row],[income]] &lt; 0.7, "Mid Income", "High Income"))</f>
        <v>Mid Income</v>
      </c>
    </row>
    <row r="371" spans="1:4">
      <c r="A371" s="3">
        <v>0.1</v>
      </c>
      <c r="B371">
        <v>1</v>
      </c>
      <c r="C371">
        <v>127</v>
      </c>
      <c r="D371" t="str">
        <f>IF(GapData[[#This Row],[income]] &lt; 0.3, "Low Income", IF(GapData[[#This Row],[income]] &lt; 0.7, "Mid Income", "High Income"))</f>
        <v>Low Income</v>
      </c>
    </row>
    <row r="372" spans="1:4">
      <c r="A372" s="3">
        <v>0.9</v>
      </c>
      <c r="B372">
        <v>1</v>
      </c>
      <c r="C372">
        <v>256</v>
      </c>
      <c r="D372" t="str">
        <f>IF(GapData[[#This Row],[income]] &lt; 0.3, "Low Income", IF(GapData[[#This Row],[income]] &lt; 0.7, "Mid Income", "High Income"))</f>
        <v>High Income</v>
      </c>
    </row>
    <row r="373" spans="1:4">
      <c r="A373" s="3">
        <v>0.1</v>
      </c>
      <c r="B373">
        <v>1</v>
      </c>
      <c r="C373">
        <v>225</v>
      </c>
      <c r="D373" t="str">
        <f>IF(GapData[[#This Row],[income]] &lt; 0.3, "Low Income", IF(GapData[[#This Row],[income]] &lt; 0.7, "Mid Income", "High Income"))</f>
        <v>Low Income</v>
      </c>
    </row>
    <row r="374" spans="1:4">
      <c r="A374" s="3">
        <v>0.9</v>
      </c>
      <c r="B374">
        <v>1</v>
      </c>
      <c r="C374">
        <v>46</v>
      </c>
      <c r="D374" t="str">
        <f>IF(GapData[[#This Row],[income]] &lt; 0.3, "Low Income", IF(GapData[[#This Row],[income]] &lt; 0.7, "Mid Income", "High Income"))</f>
        <v>High Income</v>
      </c>
    </row>
    <row r="375" spans="1:4">
      <c r="A375" s="3">
        <v>0.6</v>
      </c>
      <c r="B375">
        <v>1</v>
      </c>
      <c r="C375">
        <v>205</v>
      </c>
      <c r="D375" t="str">
        <f>IF(GapData[[#This Row],[income]] &lt; 0.3, "Low Income", IF(GapData[[#This Row],[income]] &lt; 0.7, "Mid Income", "High Income"))</f>
        <v>Mid Income</v>
      </c>
    </row>
    <row r="376" spans="1:4">
      <c r="A376" s="3">
        <v>0.6</v>
      </c>
      <c r="B376">
        <v>1</v>
      </c>
      <c r="C376">
        <v>165</v>
      </c>
      <c r="D376" t="str">
        <f>IF(GapData[[#This Row],[income]] &lt; 0.3, "Low Income", IF(GapData[[#This Row],[income]] &lt; 0.7, "Mid Income", "High Income"))</f>
        <v>Mid Income</v>
      </c>
    </row>
    <row r="377" spans="1:4">
      <c r="A377" s="3">
        <v>0.9</v>
      </c>
      <c r="B377">
        <v>1</v>
      </c>
      <c r="C377">
        <v>243</v>
      </c>
      <c r="D377" t="str">
        <f>IF(GapData[[#This Row],[income]] &lt; 0.3, "Low Income", IF(GapData[[#This Row],[income]] &lt; 0.7, "Mid Income", "High Income"))</f>
        <v>High Income</v>
      </c>
    </row>
    <row r="378" spans="1:4">
      <c r="A378" s="3">
        <v>0.1</v>
      </c>
      <c r="B378">
        <v>1</v>
      </c>
      <c r="C378">
        <v>87</v>
      </c>
      <c r="D378" t="str">
        <f>IF(GapData[[#This Row],[income]] &lt; 0.3, "Low Income", IF(GapData[[#This Row],[income]] &lt; 0.7, "Mid Income", "High Income"))</f>
        <v>Low Income</v>
      </c>
    </row>
    <row r="379" spans="1:4">
      <c r="A379" s="3">
        <v>0.3</v>
      </c>
      <c r="B379">
        <v>1</v>
      </c>
      <c r="C379">
        <v>123</v>
      </c>
      <c r="D379" t="str">
        <f>IF(GapData[[#This Row],[income]] &lt; 0.3, "Low Income", IF(GapData[[#This Row],[income]] &lt; 0.7, "Mid Income", "High Income"))</f>
        <v>Mid Income</v>
      </c>
    </row>
    <row r="380" spans="1:4">
      <c r="A380" s="3">
        <v>0.8</v>
      </c>
      <c r="B380">
        <v>1</v>
      </c>
      <c r="C380">
        <v>131</v>
      </c>
      <c r="D380" t="str">
        <f>IF(GapData[[#This Row],[income]] &lt; 0.3, "Low Income", IF(GapData[[#This Row],[income]] &lt; 0.7, "Mid Income", "High Income"))</f>
        <v>High Income</v>
      </c>
    </row>
    <row r="381" spans="1:4">
      <c r="A381" s="3">
        <v>0.9</v>
      </c>
      <c r="B381">
        <v>1</v>
      </c>
      <c r="C381">
        <v>119</v>
      </c>
      <c r="D381" t="str">
        <f>IF(GapData[[#This Row],[income]] &lt; 0.3, "Low Income", IF(GapData[[#This Row],[income]] &lt; 0.7, "Mid Income", "High Income"))</f>
        <v>High Income</v>
      </c>
    </row>
    <row r="382" spans="1:4">
      <c r="A382" s="3">
        <v>0.4</v>
      </c>
      <c r="B382">
        <v>1</v>
      </c>
      <c r="C382">
        <v>54</v>
      </c>
      <c r="D382" t="str">
        <f>IF(GapData[[#This Row],[income]] &lt; 0.3, "Low Income", IF(GapData[[#This Row],[income]] &lt; 0.7, "Mid Income", "High Income"))</f>
        <v>Mid Income</v>
      </c>
    </row>
    <row r="383" spans="1:4">
      <c r="A383" s="3">
        <v>0.5</v>
      </c>
      <c r="B383">
        <v>1</v>
      </c>
      <c r="C383">
        <v>43</v>
      </c>
      <c r="D383" t="str">
        <f>IF(GapData[[#This Row],[income]] &lt; 0.3, "Low Income", IF(GapData[[#This Row],[income]] &lt; 0.7, "Mid Income", "High Income"))</f>
        <v>Mid Income</v>
      </c>
    </row>
    <row r="384" spans="1:4">
      <c r="A384" s="3">
        <v>0.9</v>
      </c>
      <c r="B384">
        <v>1</v>
      </c>
      <c r="C384">
        <v>110</v>
      </c>
      <c r="D384" t="str">
        <f>IF(GapData[[#This Row],[income]] &lt; 0.3, "Low Income", IF(GapData[[#This Row],[income]] &lt; 0.7, "Mid Income", "High Income"))</f>
        <v>High Income</v>
      </c>
    </row>
    <row r="385" spans="1:4">
      <c r="A385" s="3">
        <v>0.9</v>
      </c>
      <c r="B385">
        <v>1</v>
      </c>
      <c r="C385">
        <v>238</v>
      </c>
      <c r="D385" t="str">
        <f>IF(GapData[[#This Row],[income]] &lt; 0.3, "Low Income", IF(GapData[[#This Row],[income]] &lt; 0.7, "Mid Income", "High Income"))</f>
        <v>High Income</v>
      </c>
    </row>
    <row r="386" spans="1:4">
      <c r="A386" s="3">
        <v>0.9</v>
      </c>
      <c r="B386">
        <v>1</v>
      </c>
      <c r="C386">
        <v>87</v>
      </c>
      <c r="D386" t="str">
        <f>IF(GapData[[#This Row],[income]] &lt; 0.3, "Low Income", IF(GapData[[#This Row],[income]] &lt; 0.7, "Mid Income", "High Income"))</f>
        <v>High Income</v>
      </c>
    </row>
    <row r="387" spans="1:4">
      <c r="A387" s="3">
        <v>0.9</v>
      </c>
      <c r="B387">
        <v>1</v>
      </c>
      <c r="C387">
        <v>208</v>
      </c>
      <c r="D387" t="str">
        <f>IF(GapData[[#This Row],[income]] &lt; 0.3, "Low Income", IF(GapData[[#This Row],[income]] &lt; 0.7, "Mid Income", "High Income"))</f>
        <v>High Income</v>
      </c>
    </row>
    <row r="388" spans="1:4">
      <c r="A388" s="3">
        <v>0.9</v>
      </c>
      <c r="B388">
        <v>1</v>
      </c>
      <c r="C388">
        <v>214</v>
      </c>
      <c r="D388" t="str">
        <f>IF(GapData[[#This Row],[income]] &lt; 0.3, "Low Income", IF(GapData[[#This Row],[income]] &lt; 0.7, "Mid Income", "High Income"))</f>
        <v>High Income</v>
      </c>
    </row>
    <row r="389" spans="1:4">
      <c r="A389" s="3">
        <v>0.9</v>
      </c>
      <c r="B389">
        <v>1</v>
      </c>
      <c r="C389">
        <v>172</v>
      </c>
      <c r="D389" t="str">
        <f>IF(GapData[[#This Row],[income]] &lt; 0.3, "Low Income", IF(GapData[[#This Row],[income]] &lt; 0.7, "Mid Income", "High Income"))</f>
        <v>High Income</v>
      </c>
    </row>
    <row r="390" spans="1:4">
      <c r="A390" s="3">
        <v>0.9</v>
      </c>
      <c r="B390">
        <v>1</v>
      </c>
      <c r="C390">
        <v>232</v>
      </c>
      <c r="D390" t="str">
        <f>IF(GapData[[#This Row],[income]] &lt; 0.3, "Low Income", IF(GapData[[#This Row],[income]] &lt; 0.7, "Mid Income", "High Income"))</f>
        <v>High Income</v>
      </c>
    </row>
    <row r="391" spans="1:4">
      <c r="A391" s="3">
        <v>0.9</v>
      </c>
      <c r="B391">
        <v>1</v>
      </c>
      <c r="C391">
        <v>218</v>
      </c>
      <c r="D391" t="str">
        <f>IF(GapData[[#This Row],[income]] &lt; 0.3, "Low Income", IF(GapData[[#This Row],[income]] &lt; 0.7, "Mid Income", "High Income"))</f>
        <v>High Income</v>
      </c>
    </row>
    <row r="392" spans="1:4">
      <c r="A392" s="3">
        <v>0.8</v>
      </c>
      <c r="B392">
        <v>1</v>
      </c>
      <c r="C392">
        <v>86</v>
      </c>
      <c r="D392" t="str">
        <f>IF(GapData[[#This Row],[income]] &lt; 0.3, "Low Income", IF(GapData[[#This Row],[income]] &lt; 0.7, "Mid Income", "High Income"))</f>
        <v>High Income</v>
      </c>
    </row>
    <row r="393" spans="1:4">
      <c r="A393" s="3">
        <v>0.9</v>
      </c>
      <c r="B393">
        <v>1</v>
      </c>
      <c r="C393">
        <v>47</v>
      </c>
      <c r="D393" t="str">
        <f>IF(GapData[[#This Row],[income]] &lt; 0.3, "Low Income", IF(GapData[[#This Row],[income]] &lt; 0.7, "Mid Income", "High Income"))</f>
        <v>High Income</v>
      </c>
    </row>
    <row r="394" spans="1:4">
      <c r="A394" s="3">
        <v>0.8</v>
      </c>
      <c r="B394">
        <v>1</v>
      </c>
      <c r="C394">
        <v>263</v>
      </c>
      <c r="D394" t="str">
        <f>IF(GapData[[#This Row],[income]] &lt; 0.3, "Low Income", IF(GapData[[#This Row],[income]] &lt; 0.7, "Mid Income", "High Income"))</f>
        <v>High Income</v>
      </c>
    </row>
    <row r="395" spans="1:4">
      <c r="A395" s="3">
        <v>0.7</v>
      </c>
      <c r="B395">
        <v>1</v>
      </c>
      <c r="C395">
        <v>199</v>
      </c>
      <c r="D395" t="str">
        <f>IF(GapData[[#This Row],[income]] &lt; 0.3, "Low Income", IF(GapData[[#This Row],[income]] &lt; 0.7, "Mid Income", "High Income"))</f>
        <v>High Income</v>
      </c>
    </row>
    <row r="396" spans="1:4">
      <c r="A396" s="3">
        <v>0.9</v>
      </c>
      <c r="B396">
        <v>1</v>
      </c>
      <c r="C396">
        <v>128</v>
      </c>
      <c r="D396" t="str">
        <f>IF(GapData[[#This Row],[income]] &lt; 0.3, "Low Income", IF(GapData[[#This Row],[income]] &lt; 0.7, "Mid Income", "High Income"))</f>
        <v>High Income</v>
      </c>
    </row>
    <row r="397" spans="1:4">
      <c r="A397" s="3">
        <v>0.8</v>
      </c>
      <c r="B397">
        <v>1</v>
      </c>
      <c r="C397">
        <v>121</v>
      </c>
      <c r="D397" t="str">
        <f>IF(GapData[[#This Row],[income]] &lt; 0.3, "Low Income", IF(GapData[[#This Row],[income]] &lt; 0.7, "Mid Income", "High Income"))</f>
        <v>High Income</v>
      </c>
    </row>
    <row r="398" spans="1:4">
      <c r="A398" s="3">
        <v>0.2</v>
      </c>
      <c r="B398">
        <v>1</v>
      </c>
      <c r="C398">
        <v>130</v>
      </c>
      <c r="D398" t="str">
        <f>IF(GapData[[#This Row],[income]] &lt; 0.3, "Low Income", IF(GapData[[#This Row],[income]] &lt; 0.7, "Mid Income", "High Income"))</f>
        <v>Low Income</v>
      </c>
    </row>
    <row r="399" spans="1:4">
      <c r="A399" s="3">
        <v>0.6</v>
      </c>
      <c r="B399">
        <v>1</v>
      </c>
      <c r="C399">
        <v>229</v>
      </c>
      <c r="D399" t="str">
        <f>IF(GapData[[#This Row],[income]] &lt; 0.3, "Low Income", IF(GapData[[#This Row],[income]] &lt; 0.7, "Mid Income", "High Income"))</f>
        <v>Mid Income</v>
      </c>
    </row>
    <row r="400" spans="1:4">
      <c r="A400" s="3">
        <v>0.9</v>
      </c>
      <c r="B400">
        <v>1</v>
      </c>
      <c r="C400">
        <v>132</v>
      </c>
      <c r="D400" t="str">
        <f>IF(GapData[[#This Row],[income]] &lt; 0.3, "Low Income", IF(GapData[[#This Row],[income]] &lt; 0.7, "Mid Income", "High Income"))</f>
        <v>High Income</v>
      </c>
    </row>
    <row r="401" spans="1:4">
      <c r="A401" s="3">
        <v>0.8</v>
      </c>
      <c r="B401">
        <v>1</v>
      </c>
      <c r="C401">
        <v>156</v>
      </c>
      <c r="D401" t="str">
        <f>IF(GapData[[#This Row],[income]] &lt; 0.3, "Low Income", IF(GapData[[#This Row],[income]] &lt; 0.7, "Mid Income", "High Income"))</f>
        <v>High Income</v>
      </c>
    </row>
    <row r="402" spans="1:4">
      <c r="A402" s="3">
        <v>0.9</v>
      </c>
      <c r="B402">
        <v>1</v>
      </c>
      <c r="C402">
        <v>117</v>
      </c>
      <c r="D402" t="str">
        <f>IF(GapData[[#This Row],[income]] &lt; 0.3, "Low Income", IF(GapData[[#This Row],[income]] &lt; 0.7, "Mid Income", "High Income"))</f>
        <v>High Income</v>
      </c>
    </row>
    <row r="403" spans="1:4">
      <c r="A403" s="3">
        <v>0.8</v>
      </c>
      <c r="B403">
        <v>1</v>
      </c>
      <c r="C403">
        <v>140</v>
      </c>
      <c r="D403" t="str">
        <f>IF(GapData[[#This Row],[income]] &lt; 0.3, "Low Income", IF(GapData[[#This Row],[income]] &lt; 0.7, "Mid Income", "High Income"))</f>
        <v>High Income</v>
      </c>
    </row>
    <row r="404" spans="1:4">
      <c r="A404" s="3">
        <v>0.1</v>
      </c>
      <c r="B404">
        <v>1</v>
      </c>
      <c r="C404">
        <v>92</v>
      </c>
      <c r="D404" t="str">
        <f>IF(GapData[[#This Row],[income]] &lt; 0.3, "Low Income", IF(GapData[[#This Row],[income]] &lt; 0.7, "Mid Income", "High Income"))</f>
        <v>Low Income</v>
      </c>
    </row>
    <row r="405" spans="1:4">
      <c r="A405" s="3">
        <v>0.9</v>
      </c>
      <c r="B405">
        <v>1</v>
      </c>
      <c r="C405">
        <v>117</v>
      </c>
      <c r="D405" t="str">
        <f>IF(GapData[[#This Row],[income]] &lt; 0.3, "Low Income", IF(GapData[[#This Row],[income]] &lt; 0.7, "Mid Income", "High Income"))</f>
        <v>High Income</v>
      </c>
    </row>
    <row r="406" spans="1:4">
      <c r="A406" s="3">
        <v>0.9</v>
      </c>
      <c r="B406">
        <v>1</v>
      </c>
      <c r="C406">
        <v>242</v>
      </c>
      <c r="D406" t="str">
        <f>IF(GapData[[#This Row],[income]] &lt; 0.3, "Low Income", IF(GapData[[#This Row],[income]] &lt; 0.7, "Mid Income", "High Income"))</f>
        <v>High Income</v>
      </c>
    </row>
    <row r="407" spans="1:4">
      <c r="A407" s="3">
        <v>0.3</v>
      </c>
      <c r="B407">
        <v>1</v>
      </c>
      <c r="C407">
        <v>104</v>
      </c>
      <c r="D407" t="str">
        <f>IF(GapData[[#This Row],[income]] &lt; 0.3, "Low Income", IF(GapData[[#This Row],[income]] &lt; 0.7, "Mid Income", "High Income"))</f>
        <v>Mid Income</v>
      </c>
    </row>
    <row r="408" spans="1:4">
      <c r="A408" s="3">
        <v>0.3</v>
      </c>
      <c r="B408">
        <v>1</v>
      </c>
      <c r="C408">
        <v>48</v>
      </c>
      <c r="D408" t="str">
        <f>IF(GapData[[#This Row],[income]] &lt; 0.3, "Low Income", IF(GapData[[#This Row],[income]] &lt; 0.7, "Mid Income", "High Income"))</f>
        <v>Mid Income</v>
      </c>
    </row>
    <row r="409" spans="1:4">
      <c r="A409" s="3">
        <v>0.9</v>
      </c>
      <c r="B409">
        <v>1</v>
      </c>
      <c r="C409">
        <v>214</v>
      </c>
      <c r="D409" t="str">
        <f>IF(GapData[[#This Row],[income]] &lt; 0.3, "Low Income", IF(GapData[[#This Row],[income]] &lt; 0.7, "Mid Income", "High Income"))</f>
        <v>High Income</v>
      </c>
    </row>
    <row r="410" spans="1:4">
      <c r="A410" s="3">
        <v>0.7</v>
      </c>
      <c r="B410">
        <v>1</v>
      </c>
      <c r="C410">
        <v>83</v>
      </c>
      <c r="D410" t="str">
        <f>IF(GapData[[#This Row],[income]] &lt; 0.3, "Low Income", IF(GapData[[#This Row],[income]] &lt; 0.7, "Mid Income", "High Income"))</f>
        <v>High Income</v>
      </c>
    </row>
    <row r="411" spans="1:4">
      <c r="A411" s="3">
        <v>0.7</v>
      </c>
      <c r="B411">
        <v>1</v>
      </c>
      <c r="C411">
        <v>117</v>
      </c>
      <c r="D411" t="str">
        <f>IF(GapData[[#This Row],[income]] &lt; 0.3, "Low Income", IF(GapData[[#This Row],[income]] &lt; 0.7, "Mid Income", "High Income"))</f>
        <v>High Income</v>
      </c>
    </row>
    <row r="412" spans="1:4">
      <c r="A412" s="3">
        <v>0.8</v>
      </c>
      <c r="B412">
        <v>1</v>
      </c>
      <c r="C412">
        <v>214</v>
      </c>
      <c r="D412" t="str">
        <f>IF(GapData[[#This Row],[income]] &lt; 0.3, "Low Income", IF(GapData[[#This Row],[income]] &lt; 0.7, "Mid Income", "High Income"))</f>
        <v>High Income</v>
      </c>
    </row>
    <row r="413" spans="1:4">
      <c r="A413" s="3">
        <v>0.2</v>
      </c>
      <c r="B413">
        <v>1</v>
      </c>
      <c r="C413">
        <v>58</v>
      </c>
      <c r="D413" t="str">
        <f>IF(GapData[[#This Row],[income]] &lt; 0.3, "Low Income", IF(GapData[[#This Row],[income]] &lt; 0.7, "Mid Income", "High Income"))</f>
        <v>Low Income</v>
      </c>
    </row>
    <row r="414" spans="1:4">
      <c r="A414" s="3">
        <v>0.9</v>
      </c>
      <c r="B414">
        <v>1</v>
      </c>
      <c r="C414">
        <v>179</v>
      </c>
      <c r="D414" t="str">
        <f>IF(GapData[[#This Row],[income]] &lt; 0.3, "Low Income", IF(GapData[[#This Row],[income]] &lt; 0.7, "Mid Income", "High Income"))</f>
        <v>High Income</v>
      </c>
    </row>
    <row r="415" spans="1:4">
      <c r="A415" s="3">
        <v>0.9</v>
      </c>
      <c r="B415">
        <v>1</v>
      </c>
      <c r="C415">
        <v>58</v>
      </c>
      <c r="D415" t="str">
        <f>IF(GapData[[#This Row],[income]] &lt; 0.3, "Low Income", IF(GapData[[#This Row],[income]] &lt; 0.7, "Mid Income", "High Income"))</f>
        <v>High Income</v>
      </c>
    </row>
    <row r="416" spans="1:4">
      <c r="A416" s="3">
        <v>0.9</v>
      </c>
      <c r="B416">
        <v>1</v>
      </c>
      <c r="C416">
        <v>14</v>
      </c>
      <c r="D416" t="str">
        <f>IF(GapData[[#This Row],[income]] &lt; 0.3, "Low Income", IF(GapData[[#This Row],[income]] &lt; 0.7, "Mid Income", "High Income"))</f>
        <v>High Income</v>
      </c>
    </row>
    <row r="417" spans="1:4">
      <c r="A417" s="3">
        <v>0.1</v>
      </c>
      <c r="B417">
        <v>1</v>
      </c>
      <c r="C417">
        <v>39</v>
      </c>
      <c r="D417" t="str">
        <f>IF(GapData[[#This Row],[income]] &lt; 0.3, "Low Income", IF(GapData[[#This Row],[income]] &lt; 0.7, "Mid Income", "High Income"))</f>
        <v>Low Income</v>
      </c>
    </row>
    <row r="418" spans="1:4">
      <c r="A418" s="3">
        <v>0.8</v>
      </c>
      <c r="B418">
        <v>1</v>
      </c>
      <c r="C418">
        <v>101</v>
      </c>
      <c r="D418" t="str">
        <f>IF(GapData[[#This Row],[income]] &lt; 0.3, "Low Income", IF(GapData[[#This Row],[income]] &lt; 0.7, "Mid Income", "High Income"))</f>
        <v>High Income</v>
      </c>
    </row>
    <row r="419" spans="1:4">
      <c r="A419" s="3">
        <v>0.9</v>
      </c>
      <c r="B419">
        <v>1</v>
      </c>
      <c r="C419">
        <v>52</v>
      </c>
      <c r="D419" t="str">
        <f>IF(GapData[[#This Row],[income]] &lt; 0.3, "Low Income", IF(GapData[[#This Row],[income]] &lt; 0.7, "Mid Income", "High Income"))</f>
        <v>High Income</v>
      </c>
    </row>
    <row r="420" spans="1:4">
      <c r="A420" s="3">
        <v>0.9</v>
      </c>
      <c r="B420">
        <v>1</v>
      </c>
      <c r="C420">
        <v>299</v>
      </c>
      <c r="D420" t="str">
        <f>IF(GapData[[#This Row],[income]] &lt; 0.3, "Low Income", IF(GapData[[#This Row],[income]] &lt; 0.7, "Mid Income", "High Income"))</f>
        <v>High Income</v>
      </c>
    </row>
    <row r="421" spans="1:4">
      <c r="A421" s="3">
        <v>0.1</v>
      </c>
      <c r="B421">
        <v>1</v>
      </c>
      <c r="C421">
        <v>91</v>
      </c>
      <c r="D421" t="str">
        <f>IF(GapData[[#This Row],[income]] &lt; 0.3, "Low Income", IF(GapData[[#This Row],[income]] &lt; 0.7, "Mid Income", "High Income"))</f>
        <v>Low Income</v>
      </c>
    </row>
    <row r="422" spans="1:4">
      <c r="A422" s="3">
        <v>0.2</v>
      </c>
      <c r="B422">
        <v>1</v>
      </c>
      <c r="C422">
        <v>132</v>
      </c>
      <c r="D422" t="str">
        <f>IF(GapData[[#This Row],[income]] &lt; 0.3, "Low Income", IF(GapData[[#This Row],[income]] &lt; 0.7, "Mid Income", "High Income"))</f>
        <v>Low Income</v>
      </c>
    </row>
    <row r="423" spans="1:4">
      <c r="A423" s="3">
        <v>0.8</v>
      </c>
      <c r="B423">
        <v>1</v>
      </c>
      <c r="C423">
        <v>39</v>
      </c>
      <c r="D423" t="str">
        <f>IF(GapData[[#This Row],[income]] &lt; 0.3, "Low Income", IF(GapData[[#This Row],[income]] &lt; 0.7, "Mid Income", "High Income"))</f>
        <v>High Income</v>
      </c>
    </row>
    <row r="424" spans="1:4">
      <c r="A424" s="3">
        <v>0.4</v>
      </c>
      <c r="B424">
        <v>1</v>
      </c>
      <c r="C424">
        <v>214</v>
      </c>
      <c r="D424" t="str">
        <f>IF(GapData[[#This Row],[income]] &lt; 0.3, "Low Income", IF(GapData[[#This Row],[income]] &lt; 0.7, "Mid Income", "High Income"))</f>
        <v>Mid Income</v>
      </c>
    </row>
    <row r="425" spans="1:4">
      <c r="A425" s="3">
        <v>0.9</v>
      </c>
      <c r="B425">
        <v>1</v>
      </c>
      <c r="C425">
        <v>13</v>
      </c>
      <c r="D425" t="str">
        <f>IF(GapData[[#This Row],[income]] &lt; 0.3, "Low Income", IF(GapData[[#This Row],[income]] &lt; 0.7, "Mid Income", "High Income"))</f>
        <v>High Income</v>
      </c>
    </row>
    <row r="426" spans="1:4">
      <c r="A426" s="3">
        <v>0.7</v>
      </c>
      <c r="B426">
        <v>1</v>
      </c>
      <c r="C426">
        <v>36</v>
      </c>
      <c r="D426" t="str">
        <f>IF(GapData[[#This Row],[income]] &lt; 0.3, "Low Income", IF(GapData[[#This Row],[income]] &lt; 0.7, "Mid Income", "High Income"))</f>
        <v>High Income</v>
      </c>
    </row>
    <row r="427" spans="1:4">
      <c r="A427" s="3">
        <v>0.7</v>
      </c>
      <c r="B427">
        <v>1</v>
      </c>
      <c r="C427">
        <v>164</v>
      </c>
      <c r="D427" t="str">
        <f>IF(GapData[[#This Row],[income]] &lt; 0.3, "Low Income", IF(GapData[[#This Row],[income]] &lt; 0.7, "Mid Income", "High Income"))</f>
        <v>High Income</v>
      </c>
    </row>
    <row r="428" spans="1:4">
      <c r="A428" s="3">
        <v>0.9</v>
      </c>
      <c r="B428">
        <v>1</v>
      </c>
      <c r="C428">
        <v>242</v>
      </c>
      <c r="D428" t="str">
        <f>IF(GapData[[#This Row],[income]] &lt; 0.3, "Low Income", IF(GapData[[#This Row],[income]] &lt; 0.7, "Mid Income", "High Income"))</f>
        <v>High Income</v>
      </c>
    </row>
    <row r="429" spans="1:4">
      <c r="A429" s="3">
        <v>0.9</v>
      </c>
      <c r="B429">
        <v>1</v>
      </c>
      <c r="C429">
        <v>74</v>
      </c>
      <c r="D429" t="str">
        <f>IF(GapData[[#This Row],[income]] &lt; 0.3, "Low Income", IF(GapData[[#This Row],[income]] &lt; 0.7, "Mid Income", "High Income"))</f>
        <v>High Income</v>
      </c>
    </row>
    <row r="430" spans="1:4">
      <c r="A430" s="3">
        <v>0.9</v>
      </c>
      <c r="B430">
        <v>1</v>
      </c>
      <c r="C430">
        <v>116</v>
      </c>
      <c r="D430" t="str">
        <f>IF(GapData[[#This Row],[income]] &lt; 0.3, "Low Income", IF(GapData[[#This Row],[income]] &lt; 0.7, "Mid Income", "High Income"))</f>
        <v>High Income</v>
      </c>
    </row>
    <row r="431" spans="1:4">
      <c r="A431" s="3">
        <v>0.8</v>
      </c>
      <c r="B431">
        <v>1</v>
      </c>
      <c r="C431">
        <v>45</v>
      </c>
      <c r="D431" t="str">
        <f>IF(GapData[[#This Row],[income]] &lt; 0.3, "Low Income", IF(GapData[[#This Row],[income]] &lt; 0.7, "Mid Income", "High Income"))</f>
        <v>High Income</v>
      </c>
    </row>
    <row r="432" spans="1:4">
      <c r="A432" s="3">
        <v>0.9</v>
      </c>
      <c r="B432">
        <v>1</v>
      </c>
      <c r="C432">
        <v>119</v>
      </c>
      <c r="D432" t="str">
        <f>IF(GapData[[#This Row],[income]] &lt; 0.3, "Low Income", IF(GapData[[#This Row],[income]] &lt; 0.7, "Mid Income", "High Income"))</f>
        <v>High Income</v>
      </c>
    </row>
    <row r="433" spans="1:4">
      <c r="A433" s="3">
        <v>0.9</v>
      </c>
      <c r="B433">
        <v>1</v>
      </c>
      <c r="C433">
        <v>46</v>
      </c>
      <c r="D433" t="str">
        <f>IF(GapData[[#This Row],[income]] &lt; 0.3, "Low Income", IF(GapData[[#This Row],[income]] &lt; 0.7, "Mid Income", "High Income"))</f>
        <v>High Income</v>
      </c>
    </row>
    <row r="434" spans="1:4">
      <c r="A434" s="3">
        <v>0.5</v>
      </c>
      <c r="B434">
        <v>1</v>
      </c>
      <c r="C434">
        <v>156</v>
      </c>
      <c r="D434" t="str">
        <f>IF(GapData[[#This Row],[income]] &lt; 0.3, "Low Income", IF(GapData[[#This Row],[income]] &lt; 0.7, "Mid Income", "High Income"))</f>
        <v>Mid Income</v>
      </c>
    </row>
    <row r="435" spans="1:4">
      <c r="A435" s="3">
        <v>0.2</v>
      </c>
      <c r="B435">
        <v>1</v>
      </c>
      <c r="C435">
        <v>156</v>
      </c>
      <c r="D435" t="str">
        <f>IF(GapData[[#This Row],[income]] &lt; 0.3, "Low Income", IF(GapData[[#This Row],[income]] &lt; 0.7, "Mid Income", "High Income"))</f>
        <v>Low Income</v>
      </c>
    </row>
    <row r="436" spans="1:4">
      <c r="A436" s="3">
        <v>0.8</v>
      </c>
      <c r="B436">
        <v>1</v>
      </c>
      <c r="C436">
        <v>119</v>
      </c>
      <c r="D436" t="str">
        <f>IF(GapData[[#This Row],[income]] &lt; 0.3, "Low Income", IF(GapData[[#This Row],[income]] &lt; 0.7, "Mid Income", "High Income"))</f>
        <v>High Income</v>
      </c>
    </row>
    <row r="437" spans="1:4">
      <c r="A437" s="3">
        <v>0.8</v>
      </c>
      <c r="B437">
        <v>1</v>
      </c>
      <c r="C437">
        <v>82</v>
      </c>
      <c r="D437" t="str">
        <f>IF(GapData[[#This Row],[income]] &lt; 0.3, "Low Income", IF(GapData[[#This Row],[income]] &lt; 0.7, "Mid Income", "High Income"))</f>
        <v>High Income</v>
      </c>
    </row>
    <row r="438" spans="1:4">
      <c r="A438" s="3">
        <v>0.9</v>
      </c>
      <c r="B438">
        <v>1</v>
      </c>
      <c r="C438">
        <v>226</v>
      </c>
      <c r="D438" t="str">
        <f>IF(GapData[[#This Row],[income]] &lt; 0.3, "Low Income", IF(GapData[[#This Row],[income]] &lt; 0.7, "Mid Income", "High Income"))</f>
        <v>High Income</v>
      </c>
    </row>
    <row r="439" spans="1:4">
      <c r="A439" s="3">
        <v>0.8</v>
      </c>
      <c r="B439">
        <v>1</v>
      </c>
      <c r="C439">
        <v>111</v>
      </c>
      <c r="D439" t="str">
        <f>IF(GapData[[#This Row],[income]] &lt; 0.3, "Low Income", IF(GapData[[#This Row],[income]] &lt; 0.7, "Mid Income", "High Income"))</f>
        <v>High Income</v>
      </c>
    </row>
    <row r="440" spans="1:4">
      <c r="A440" s="3">
        <v>0.9</v>
      </c>
      <c r="B440">
        <v>1</v>
      </c>
      <c r="C440">
        <v>151</v>
      </c>
      <c r="D440" t="str">
        <f>IF(GapData[[#This Row],[income]] &lt; 0.3, "Low Income", IF(GapData[[#This Row],[income]] &lt; 0.7, "Mid Income", "High Income"))</f>
        <v>High Income</v>
      </c>
    </row>
    <row r="441" spans="1:4">
      <c r="A441" s="3">
        <v>0.4</v>
      </c>
      <c r="B441">
        <v>1</v>
      </c>
      <c r="C441">
        <v>81</v>
      </c>
      <c r="D441" t="str">
        <f>IF(GapData[[#This Row],[income]] &lt; 0.3, "Low Income", IF(GapData[[#This Row],[income]] &lt; 0.7, "Mid Income", "High Income"))</f>
        <v>Mid Income</v>
      </c>
    </row>
    <row r="442" spans="1:4">
      <c r="A442" s="3">
        <v>0.8</v>
      </c>
      <c r="B442">
        <v>1</v>
      </c>
      <c r="C442">
        <v>171</v>
      </c>
      <c r="D442" t="str">
        <f>IF(GapData[[#This Row],[income]] &lt; 0.3, "Low Income", IF(GapData[[#This Row],[income]] &lt; 0.7, "Mid Income", "High Income"))</f>
        <v>High Income</v>
      </c>
    </row>
    <row r="443" spans="1:4">
      <c r="A443" s="3">
        <v>0.9</v>
      </c>
      <c r="B443">
        <v>1</v>
      </c>
      <c r="C443">
        <v>157</v>
      </c>
      <c r="D443" t="str">
        <f>IF(GapData[[#This Row],[income]] &lt; 0.3, "Low Income", IF(GapData[[#This Row],[income]] &lt; 0.7, "Mid Income", "High Income"))</f>
        <v>High Income</v>
      </c>
    </row>
    <row r="444" spans="1:4">
      <c r="A444" s="3">
        <v>0.9</v>
      </c>
      <c r="B444">
        <v>1</v>
      </c>
      <c r="C444">
        <v>129</v>
      </c>
      <c r="D444" t="str">
        <f>IF(GapData[[#This Row],[income]] &lt; 0.3, "Low Income", IF(GapData[[#This Row],[income]] &lt; 0.7, "Mid Income", "High Income"))</f>
        <v>High Income</v>
      </c>
    </row>
    <row r="445" spans="1:4">
      <c r="A445" s="3">
        <v>0.9</v>
      </c>
      <c r="B445">
        <v>1</v>
      </c>
      <c r="C445">
        <v>106</v>
      </c>
      <c r="D445" t="str">
        <f>IF(GapData[[#This Row],[income]] &lt; 0.3, "Low Income", IF(GapData[[#This Row],[income]] &lt; 0.7, "Mid Income", "High Income"))</f>
        <v>High Income</v>
      </c>
    </row>
    <row r="446" spans="1:4">
      <c r="A446" s="3">
        <v>0.3</v>
      </c>
      <c r="B446">
        <v>1</v>
      </c>
      <c r="C446">
        <v>293</v>
      </c>
      <c r="D446" t="str">
        <f>IF(GapData[[#This Row],[income]] &lt; 0.3, "Low Income", IF(GapData[[#This Row],[income]] &lt; 0.7, "Mid Income", "High Income"))</f>
        <v>Mid Income</v>
      </c>
    </row>
    <row r="447" spans="1:4">
      <c r="A447" s="3">
        <v>0.8</v>
      </c>
      <c r="B447">
        <v>1</v>
      </c>
      <c r="C447">
        <v>66</v>
      </c>
      <c r="D447" t="str">
        <f>IF(GapData[[#This Row],[income]] &lt; 0.3, "Low Income", IF(GapData[[#This Row],[income]] &lt; 0.7, "Mid Income", "High Income"))</f>
        <v>High Income</v>
      </c>
    </row>
    <row r="448" spans="1:4">
      <c r="A448" s="3">
        <v>0.6</v>
      </c>
      <c r="B448">
        <v>1</v>
      </c>
      <c r="C448">
        <v>139</v>
      </c>
      <c r="D448" t="str">
        <f>IF(GapData[[#This Row],[income]] &lt; 0.3, "Low Income", IF(GapData[[#This Row],[income]] &lt; 0.7, "Mid Income", "High Income"))</f>
        <v>Mid Income</v>
      </c>
    </row>
    <row r="449" spans="1:4">
      <c r="A449" s="3">
        <v>0.1</v>
      </c>
      <c r="B449">
        <v>1</v>
      </c>
      <c r="C449">
        <v>233</v>
      </c>
      <c r="D449" t="str">
        <f>IF(GapData[[#This Row],[income]] &lt; 0.3, "Low Income", IF(GapData[[#This Row],[income]] &lt; 0.7, "Mid Income", "High Income"))</f>
        <v>Low Income</v>
      </c>
    </row>
    <row r="450" spans="1:4">
      <c r="A450" s="3">
        <v>0.9</v>
      </c>
      <c r="B450">
        <v>1</v>
      </c>
      <c r="C450">
        <v>207</v>
      </c>
      <c r="D450" t="str">
        <f>IF(GapData[[#This Row],[income]] &lt; 0.3, "Low Income", IF(GapData[[#This Row],[income]] &lt; 0.7, "Mid Income", "High Income"))</f>
        <v>High Income</v>
      </c>
    </row>
    <row r="451" spans="1:4">
      <c r="A451" s="3">
        <v>0.6</v>
      </c>
      <c r="B451">
        <v>1</v>
      </c>
      <c r="C451">
        <v>202</v>
      </c>
      <c r="D451" t="str">
        <f>IF(GapData[[#This Row],[income]] &lt; 0.3, "Low Income", IF(GapData[[#This Row],[income]] &lt; 0.7, "Mid Income", "High Income"))</f>
        <v>Mid Income</v>
      </c>
    </row>
    <row r="452" spans="1:4">
      <c r="A452" s="3">
        <v>0.9</v>
      </c>
      <c r="B452">
        <v>1</v>
      </c>
      <c r="C452">
        <v>252</v>
      </c>
      <c r="D452" t="str">
        <f>IF(GapData[[#This Row],[income]] &lt; 0.3, "Low Income", IF(GapData[[#This Row],[income]] &lt; 0.7, "Mid Income", "High Income"))</f>
        <v>High Income</v>
      </c>
    </row>
    <row r="453" spans="1:4">
      <c r="A453" s="3">
        <v>0.8</v>
      </c>
      <c r="B453">
        <v>1</v>
      </c>
      <c r="C453">
        <v>139</v>
      </c>
      <c r="D453" t="str">
        <f>IF(GapData[[#This Row],[income]] &lt; 0.3, "Low Income", IF(GapData[[#This Row],[income]] &lt; 0.7, "Mid Income", "High Income"))</f>
        <v>High Income</v>
      </c>
    </row>
    <row r="454" spans="1:4">
      <c r="A454" s="3">
        <v>0.7</v>
      </c>
      <c r="B454">
        <v>1</v>
      </c>
      <c r="C454">
        <v>100</v>
      </c>
      <c r="D454" t="str">
        <f>IF(GapData[[#This Row],[income]] &lt; 0.3, "Low Income", IF(GapData[[#This Row],[income]] &lt; 0.7, "Mid Income", "High Income"))</f>
        <v>High Income</v>
      </c>
    </row>
    <row r="455" spans="1:4">
      <c r="A455" s="3">
        <v>0.5</v>
      </c>
      <c r="B455">
        <v>1</v>
      </c>
      <c r="C455">
        <v>98</v>
      </c>
      <c r="D455" t="str">
        <f>IF(GapData[[#This Row],[income]] &lt; 0.3, "Low Income", IF(GapData[[#This Row],[income]] &lt; 0.7, "Mid Income", "High Income"))</f>
        <v>Mid Income</v>
      </c>
    </row>
    <row r="456" spans="1:4">
      <c r="A456" s="3">
        <v>0.9</v>
      </c>
      <c r="B456">
        <v>1</v>
      </c>
      <c r="C456">
        <v>200</v>
      </c>
      <c r="D456" t="str">
        <f>IF(GapData[[#This Row],[income]] &lt; 0.3, "Low Income", IF(GapData[[#This Row],[income]] &lt; 0.7, "Mid Income", "High Income"))</f>
        <v>High Income</v>
      </c>
    </row>
    <row r="457" spans="1:4">
      <c r="A457" s="3">
        <v>0.9</v>
      </c>
      <c r="B457">
        <v>1</v>
      </c>
      <c r="C457">
        <v>96</v>
      </c>
      <c r="D457" t="str">
        <f>IF(GapData[[#This Row],[income]] &lt; 0.3, "Low Income", IF(GapData[[#This Row],[income]] &lt; 0.7, "Mid Income", "High Income"))</f>
        <v>High Income</v>
      </c>
    </row>
    <row r="458" spans="1:4">
      <c r="A458" s="3">
        <v>0.9</v>
      </c>
      <c r="B458">
        <v>1</v>
      </c>
      <c r="C458">
        <v>103</v>
      </c>
      <c r="D458" t="str">
        <f>IF(GapData[[#This Row],[income]] &lt; 0.3, "Low Income", IF(GapData[[#This Row],[income]] &lt; 0.7, "Mid Income", "High Income"))</f>
        <v>High Income</v>
      </c>
    </row>
    <row r="459" spans="1:4">
      <c r="A459" s="3">
        <v>0.9</v>
      </c>
      <c r="B459">
        <v>1</v>
      </c>
      <c r="C459">
        <v>130</v>
      </c>
      <c r="D459" t="str">
        <f>IF(GapData[[#This Row],[income]] &lt; 0.3, "Low Income", IF(GapData[[#This Row],[income]] &lt; 0.7, "Mid Income", "High Income"))</f>
        <v>High Income</v>
      </c>
    </row>
    <row r="460" spans="1:4">
      <c r="A460" s="3">
        <v>0.9</v>
      </c>
      <c r="B460">
        <v>1</v>
      </c>
      <c r="C460">
        <v>252</v>
      </c>
      <c r="D460" t="str">
        <f>IF(GapData[[#This Row],[income]] &lt; 0.3, "Low Income", IF(GapData[[#This Row],[income]] &lt; 0.7, "Mid Income", "High Income"))</f>
        <v>High Income</v>
      </c>
    </row>
    <row r="461" spans="1:4">
      <c r="A461" s="3">
        <v>0.9</v>
      </c>
      <c r="B461">
        <v>1</v>
      </c>
      <c r="C461">
        <v>264</v>
      </c>
      <c r="D461" t="str">
        <f>IF(GapData[[#This Row],[income]] &lt; 0.3, "Low Income", IF(GapData[[#This Row],[income]] &lt; 0.7, "Mid Income", "High Income"))</f>
        <v>High Income</v>
      </c>
    </row>
    <row r="462" spans="1:4">
      <c r="A462" s="3">
        <v>0.7</v>
      </c>
      <c r="B462">
        <v>1</v>
      </c>
      <c r="C462">
        <v>271</v>
      </c>
      <c r="D462" t="str">
        <f>IF(GapData[[#This Row],[income]] &lt; 0.3, "Low Income", IF(GapData[[#This Row],[income]] &lt; 0.7, "Mid Income", "High Income"))</f>
        <v>High Income</v>
      </c>
    </row>
    <row r="463" spans="1:4">
      <c r="A463" s="3">
        <v>0.2</v>
      </c>
      <c r="B463">
        <v>1</v>
      </c>
      <c r="C463">
        <v>185</v>
      </c>
      <c r="D463" t="str">
        <f>IF(GapData[[#This Row],[income]] &lt; 0.3, "Low Income", IF(GapData[[#This Row],[income]] &lt; 0.7, "Mid Income", "High Income"))</f>
        <v>Low Income</v>
      </c>
    </row>
    <row r="464" spans="1:4">
      <c r="A464" s="3">
        <v>0.8</v>
      </c>
      <c r="B464">
        <v>1</v>
      </c>
      <c r="C464">
        <v>273</v>
      </c>
      <c r="D464" t="str">
        <f>IF(GapData[[#This Row],[income]] &lt; 0.3, "Low Income", IF(GapData[[#This Row],[income]] &lt; 0.7, "Mid Income", "High Income"))</f>
        <v>High Income</v>
      </c>
    </row>
    <row r="465" spans="1:4">
      <c r="A465" s="3">
        <v>0.9</v>
      </c>
      <c r="B465">
        <v>1</v>
      </c>
      <c r="C465">
        <v>233</v>
      </c>
      <c r="D465" t="str">
        <f>IF(GapData[[#This Row],[income]] &lt; 0.3, "Low Income", IF(GapData[[#This Row],[income]] &lt; 0.7, "Mid Income", "High Income"))</f>
        <v>High Income</v>
      </c>
    </row>
    <row r="466" spans="1:4">
      <c r="A466" s="3">
        <v>0.9</v>
      </c>
      <c r="B466">
        <v>1</v>
      </c>
      <c r="C466">
        <v>175</v>
      </c>
      <c r="D466" t="str">
        <f>IF(GapData[[#This Row],[income]] &lt; 0.3, "Low Income", IF(GapData[[#This Row],[income]] &lt; 0.7, "Mid Income", "High Income"))</f>
        <v>High Income</v>
      </c>
    </row>
    <row r="467" spans="1:4">
      <c r="A467" s="3">
        <v>0.8</v>
      </c>
      <c r="B467">
        <v>1</v>
      </c>
      <c r="C467">
        <v>292</v>
      </c>
      <c r="D467" t="str">
        <f>IF(GapData[[#This Row],[income]] &lt; 0.3, "Low Income", IF(GapData[[#This Row],[income]] &lt; 0.7, "Mid Income", "High Income"))</f>
        <v>High Income</v>
      </c>
    </row>
    <row r="468" spans="1:4">
      <c r="A468" s="3">
        <v>0.9</v>
      </c>
      <c r="B468">
        <v>1</v>
      </c>
      <c r="C468">
        <v>85</v>
      </c>
      <c r="D468" t="str">
        <f>IF(GapData[[#This Row],[income]] &lt; 0.3, "Low Income", IF(GapData[[#This Row],[income]] &lt; 0.7, "Mid Income", "High Income"))</f>
        <v>High Income</v>
      </c>
    </row>
    <row r="469" spans="1:4">
      <c r="A469" s="3">
        <v>0.9</v>
      </c>
      <c r="B469">
        <v>1</v>
      </c>
      <c r="C469">
        <v>272</v>
      </c>
      <c r="D469" t="str">
        <f>IF(GapData[[#This Row],[income]] &lt; 0.3, "Low Income", IF(GapData[[#This Row],[income]] &lt; 0.7, "Mid Income", "High Income"))</f>
        <v>High Income</v>
      </c>
    </row>
    <row r="470" spans="1:4">
      <c r="A470" s="3">
        <v>0.9</v>
      </c>
      <c r="B470">
        <v>1</v>
      </c>
      <c r="C470">
        <v>273</v>
      </c>
      <c r="D470" t="str">
        <f>IF(GapData[[#This Row],[income]] &lt; 0.3, "Low Income", IF(GapData[[#This Row],[income]] &lt; 0.7, "Mid Income", "High Income"))</f>
        <v>High Income</v>
      </c>
    </row>
    <row r="471" spans="1:4">
      <c r="A471" s="3">
        <v>0.7</v>
      </c>
      <c r="B471">
        <v>1</v>
      </c>
      <c r="C471">
        <v>106</v>
      </c>
      <c r="D471" t="str">
        <f>IF(GapData[[#This Row],[income]] &lt; 0.3, "Low Income", IF(GapData[[#This Row],[income]] &lt; 0.7, "Mid Income", "High Income"))</f>
        <v>High Income</v>
      </c>
    </row>
    <row r="472" spans="1:4">
      <c r="A472" s="3">
        <v>0.4</v>
      </c>
      <c r="B472">
        <v>1</v>
      </c>
      <c r="C472">
        <v>116</v>
      </c>
      <c r="D472" t="str">
        <f>IF(GapData[[#This Row],[income]] &lt; 0.3, "Low Income", IF(GapData[[#This Row],[income]] &lt; 0.7, "Mid Income", "High Income"))</f>
        <v>Mid Income</v>
      </c>
    </row>
    <row r="473" spans="1:4">
      <c r="A473" s="3">
        <v>0.6</v>
      </c>
      <c r="B473">
        <v>1</v>
      </c>
      <c r="C473">
        <v>154</v>
      </c>
      <c r="D473" t="str">
        <f>IF(GapData[[#This Row],[income]] &lt; 0.3, "Low Income", IF(GapData[[#This Row],[income]] &lt; 0.7, "Mid Income", "High Income"))</f>
        <v>Mid Income</v>
      </c>
    </row>
    <row r="474" spans="1:4">
      <c r="A474" s="3">
        <v>0.1</v>
      </c>
      <c r="B474">
        <v>1</v>
      </c>
      <c r="C474">
        <v>217</v>
      </c>
      <c r="D474" t="str">
        <f>IF(GapData[[#This Row],[income]] &lt; 0.3, "Low Income", IF(GapData[[#This Row],[income]] &lt; 0.7, "Mid Income", "High Income"))</f>
        <v>Low Income</v>
      </c>
    </row>
    <row r="475" spans="1:4">
      <c r="A475" s="3">
        <v>0.9</v>
      </c>
      <c r="B475">
        <v>1</v>
      </c>
      <c r="C475">
        <v>58</v>
      </c>
      <c r="D475" t="str">
        <f>IF(GapData[[#This Row],[income]] &lt; 0.3, "Low Income", IF(GapData[[#This Row],[income]] &lt; 0.7, "Mid Income", "High Income"))</f>
        <v>High Income</v>
      </c>
    </row>
    <row r="476" spans="1:4">
      <c r="A476" s="3">
        <v>0.7</v>
      </c>
      <c r="B476">
        <v>1</v>
      </c>
      <c r="C476">
        <v>6</v>
      </c>
      <c r="D476" t="str">
        <f>IF(GapData[[#This Row],[income]] &lt; 0.3, "Low Income", IF(GapData[[#This Row],[income]] &lt; 0.7, "Mid Income", "High Income"))</f>
        <v>High Income</v>
      </c>
    </row>
    <row r="477" spans="1:4">
      <c r="A477" s="3">
        <v>0.6</v>
      </c>
      <c r="B477">
        <v>1</v>
      </c>
      <c r="C477">
        <v>109</v>
      </c>
      <c r="D477" t="str">
        <f>IF(GapData[[#This Row],[income]] &lt; 0.3, "Low Income", IF(GapData[[#This Row],[income]] &lt; 0.7, "Mid Income", "High Income"))</f>
        <v>Mid Income</v>
      </c>
    </row>
    <row r="478" spans="1:4">
      <c r="A478" s="3">
        <v>0.7</v>
      </c>
      <c r="B478">
        <v>1</v>
      </c>
      <c r="C478">
        <v>212</v>
      </c>
      <c r="D478" t="str">
        <f>IF(GapData[[#This Row],[income]] &lt; 0.3, "Low Income", IF(GapData[[#This Row],[income]] &lt; 0.7, "Mid Income", "High Income"))</f>
        <v>High Income</v>
      </c>
    </row>
    <row r="479" spans="1:4">
      <c r="A479" s="3">
        <v>0.5</v>
      </c>
      <c r="B479">
        <v>1</v>
      </c>
      <c r="C479">
        <v>129</v>
      </c>
      <c r="D479" t="str">
        <f>IF(GapData[[#This Row],[income]] &lt; 0.3, "Low Income", IF(GapData[[#This Row],[income]] &lt; 0.7, "Mid Income", "High Income"))</f>
        <v>Mid Income</v>
      </c>
    </row>
    <row r="480" spans="1:4">
      <c r="A480" s="3">
        <v>0.9</v>
      </c>
      <c r="B480">
        <v>1</v>
      </c>
      <c r="C480">
        <v>186</v>
      </c>
      <c r="D480" t="str">
        <f>IF(GapData[[#This Row],[income]] &lt; 0.3, "Low Income", IF(GapData[[#This Row],[income]] &lt; 0.7, "Mid Income", "High Income"))</f>
        <v>High Income</v>
      </c>
    </row>
    <row r="481" spans="1:4">
      <c r="A481" s="3">
        <v>0.9</v>
      </c>
      <c r="B481">
        <v>1</v>
      </c>
      <c r="C481">
        <v>214</v>
      </c>
      <c r="D481" t="str">
        <f>IF(GapData[[#This Row],[income]] &lt; 0.3, "Low Income", IF(GapData[[#This Row],[income]] &lt; 0.7, "Mid Income", "High Income"))</f>
        <v>High Income</v>
      </c>
    </row>
    <row r="482" spans="1:4">
      <c r="A482" s="3">
        <v>0.9</v>
      </c>
      <c r="B482">
        <v>1</v>
      </c>
      <c r="C482">
        <v>130</v>
      </c>
      <c r="D482" t="str">
        <f>IF(GapData[[#This Row],[income]] &lt; 0.3, "Low Income", IF(GapData[[#This Row],[income]] &lt; 0.7, "Mid Income", "High Income"))</f>
        <v>High Income</v>
      </c>
    </row>
    <row r="483" spans="1:4">
      <c r="A483" s="3">
        <v>0.8</v>
      </c>
      <c r="B483">
        <v>1</v>
      </c>
      <c r="C483">
        <v>229</v>
      </c>
      <c r="D483" t="str">
        <f>IF(GapData[[#This Row],[income]] &lt; 0.3, "Low Income", IF(GapData[[#This Row],[income]] &lt; 0.7, "Mid Income", "High Income"))</f>
        <v>High Income</v>
      </c>
    </row>
    <row r="484" spans="1:4">
      <c r="A484" s="3">
        <v>0.9</v>
      </c>
      <c r="B484">
        <v>1</v>
      </c>
      <c r="C484">
        <v>53</v>
      </c>
      <c r="D484" t="str">
        <f>IF(GapData[[#This Row],[income]] &lt; 0.3, "Low Income", IF(GapData[[#This Row],[income]] &lt; 0.7, "Mid Income", "High Income"))</f>
        <v>High Income</v>
      </c>
    </row>
    <row r="485" spans="1:4">
      <c r="A485" s="3">
        <v>0.9</v>
      </c>
      <c r="B485">
        <v>1</v>
      </c>
      <c r="C485">
        <v>138</v>
      </c>
      <c r="D485" t="str">
        <f>IF(GapData[[#This Row],[income]] &lt; 0.3, "Low Income", IF(GapData[[#This Row],[income]] &lt; 0.7, "Mid Income", "High Income"))</f>
        <v>High Income</v>
      </c>
    </row>
    <row r="486" spans="1:4">
      <c r="A486" s="3">
        <v>0.9</v>
      </c>
      <c r="B486">
        <v>1</v>
      </c>
      <c r="C486">
        <v>109</v>
      </c>
      <c r="D486" t="str">
        <f>IF(GapData[[#This Row],[income]] &lt; 0.3, "Low Income", IF(GapData[[#This Row],[income]] &lt; 0.7, "Mid Income", "High Income"))</f>
        <v>High Income</v>
      </c>
    </row>
    <row r="487" spans="1:4">
      <c r="A487" s="3">
        <v>0.6</v>
      </c>
      <c r="B487">
        <v>1</v>
      </c>
      <c r="C487">
        <v>280</v>
      </c>
      <c r="D487" t="str">
        <f>IF(GapData[[#This Row],[income]] &lt; 0.3, "Low Income", IF(GapData[[#This Row],[income]] &lt; 0.7, "Mid Income", "High Income"))</f>
        <v>Mid Income</v>
      </c>
    </row>
    <row r="488" spans="1:4">
      <c r="A488" s="3">
        <v>0.7</v>
      </c>
      <c r="B488">
        <v>1</v>
      </c>
      <c r="C488">
        <v>214</v>
      </c>
      <c r="D488" t="str">
        <f>IF(GapData[[#This Row],[income]] &lt; 0.3, "Low Income", IF(GapData[[#This Row],[income]] &lt; 0.7, "Mid Income", "High Income"))</f>
        <v>High Income</v>
      </c>
    </row>
    <row r="489" spans="1:4">
      <c r="A489" s="3">
        <v>0.9</v>
      </c>
      <c r="B489">
        <v>1</v>
      </c>
      <c r="C489">
        <v>191</v>
      </c>
      <c r="D489" t="str">
        <f>IF(GapData[[#This Row],[income]] &lt; 0.3, "Low Income", IF(GapData[[#This Row],[income]] &lt; 0.7, "Mid Income", "High Income"))</f>
        <v>High Income</v>
      </c>
    </row>
    <row r="490" spans="1:4">
      <c r="A490" s="3">
        <v>0.8</v>
      </c>
      <c r="B490">
        <v>1</v>
      </c>
      <c r="C490">
        <v>89</v>
      </c>
      <c r="D490" t="str">
        <f>IF(GapData[[#This Row],[income]] &lt; 0.3, "Low Income", IF(GapData[[#This Row],[income]] &lt; 0.7, "Mid Income", "High Income"))</f>
        <v>High Income</v>
      </c>
    </row>
    <row r="491" spans="1:4">
      <c r="A491" s="3">
        <v>0.4</v>
      </c>
      <c r="B491">
        <v>1</v>
      </c>
      <c r="C491">
        <v>141</v>
      </c>
      <c r="D491" t="str">
        <f>IF(GapData[[#This Row],[income]] &lt; 0.3, "Low Income", IF(GapData[[#This Row],[income]] &lt; 0.7, "Mid Income", "High Income"))</f>
        <v>Mid Income</v>
      </c>
    </row>
    <row r="492" spans="1:4">
      <c r="A492" s="3">
        <v>0.8</v>
      </c>
      <c r="B492">
        <v>1</v>
      </c>
      <c r="C492">
        <v>189</v>
      </c>
      <c r="D492" t="str">
        <f>IF(GapData[[#This Row],[income]] &lt; 0.3, "Low Income", IF(GapData[[#This Row],[income]] &lt; 0.7, "Mid Income", "High Income"))</f>
        <v>High Income</v>
      </c>
    </row>
    <row r="493" spans="1:4">
      <c r="A493" s="3">
        <v>0.8</v>
      </c>
      <c r="B493">
        <v>1</v>
      </c>
      <c r="C493">
        <v>24</v>
      </c>
      <c r="D493" t="str">
        <f>IF(GapData[[#This Row],[income]] &lt; 0.3, "Low Income", IF(GapData[[#This Row],[income]] &lt; 0.7, "Mid Income", "High Income"))</f>
        <v>High Income</v>
      </c>
    </row>
    <row r="494" spans="1:4">
      <c r="A494" s="3">
        <v>0.1</v>
      </c>
      <c r="B494">
        <v>1</v>
      </c>
      <c r="C494">
        <v>118</v>
      </c>
      <c r="D494" t="str">
        <f>IF(GapData[[#This Row],[income]] &lt; 0.3, "Low Income", IF(GapData[[#This Row],[income]] &lt; 0.7, "Mid Income", "High Income"))</f>
        <v>Low Income</v>
      </c>
    </row>
    <row r="495" spans="1:4">
      <c r="A495" s="3">
        <v>0.9</v>
      </c>
      <c r="B495">
        <v>1</v>
      </c>
      <c r="C495">
        <v>162</v>
      </c>
      <c r="D495" t="str">
        <f>IF(GapData[[#This Row],[income]] &lt; 0.3, "Low Income", IF(GapData[[#This Row],[income]] &lt; 0.7, "Mid Income", "High Income"))</f>
        <v>High Income</v>
      </c>
    </row>
    <row r="496" spans="1:4">
      <c r="A496" s="3">
        <v>0.9</v>
      </c>
      <c r="B496">
        <v>1</v>
      </c>
      <c r="C496">
        <v>77</v>
      </c>
      <c r="D496" t="str">
        <f>IF(GapData[[#This Row],[income]] &lt; 0.3, "Low Income", IF(GapData[[#This Row],[income]] &lt; 0.7, "Mid Income", "High Income"))</f>
        <v>High Income</v>
      </c>
    </row>
    <row r="497" spans="1:4">
      <c r="A497" s="3">
        <v>0.9</v>
      </c>
      <c r="B497">
        <v>1</v>
      </c>
      <c r="C497">
        <v>296</v>
      </c>
      <c r="D497" t="str">
        <f>IF(GapData[[#This Row],[income]] &lt; 0.3, "Low Income", IF(GapData[[#This Row],[income]] &lt; 0.7, "Mid Income", "High Income"))</f>
        <v>High Income</v>
      </c>
    </row>
    <row r="498" spans="1:4">
      <c r="A498" s="3">
        <v>0.9</v>
      </c>
      <c r="B498">
        <v>1</v>
      </c>
      <c r="C498">
        <v>133</v>
      </c>
      <c r="D498" t="str">
        <f>IF(GapData[[#This Row],[income]] &lt; 0.3, "Low Income", IF(GapData[[#This Row],[income]] &lt; 0.7, "Mid Income", "High Income"))</f>
        <v>High Income</v>
      </c>
    </row>
    <row r="499" spans="1:4">
      <c r="A499" s="3">
        <v>0.6</v>
      </c>
      <c r="B499">
        <v>1</v>
      </c>
      <c r="C499">
        <v>280</v>
      </c>
      <c r="D499" t="str">
        <f>IF(GapData[[#This Row],[income]] &lt; 0.3, "Low Income", IF(GapData[[#This Row],[income]] &lt; 0.7, "Mid Income", "High Income"))</f>
        <v>Mid Income</v>
      </c>
    </row>
    <row r="500" spans="1:4">
      <c r="A500" s="3">
        <v>0.9</v>
      </c>
      <c r="B500">
        <v>1</v>
      </c>
      <c r="C500">
        <v>126</v>
      </c>
      <c r="D500" t="str">
        <f>IF(GapData[[#This Row],[income]] &lt; 0.3, "Low Income", IF(GapData[[#This Row],[income]] &lt; 0.7, "Mid Income", "High Income"))</f>
        <v>High Income</v>
      </c>
    </row>
    <row r="501" spans="1:4">
      <c r="A501" s="3">
        <v>0.9</v>
      </c>
      <c r="B501">
        <v>1</v>
      </c>
      <c r="C501">
        <v>239</v>
      </c>
      <c r="D501" t="str">
        <f>IF(GapData[[#This Row],[income]] &lt; 0.3, "Low Income", IF(GapData[[#This Row],[income]] &lt; 0.7, "Mid Income", "High Income"))</f>
        <v>High Income</v>
      </c>
    </row>
    <row r="502" spans="1:4">
      <c r="A502" s="3">
        <v>0.5</v>
      </c>
      <c r="B502">
        <v>1</v>
      </c>
      <c r="C502">
        <v>250</v>
      </c>
      <c r="D502" t="str">
        <f>IF(GapData[[#This Row],[income]] &lt; 0.3, "Low Income", IF(GapData[[#This Row],[income]] &lt; 0.7, "Mid Income", "High Income"))</f>
        <v>Mid Income</v>
      </c>
    </row>
    <row r="503" spans="1:4">
      <c r="A503" s="3">
        <v>0.9</v>
      </c>
      <c r="B503">
        <v>1</v>
      </c>
      <c r="C503">
        <v>162</v>
      </c>
      <c r="D503" t="str">
        <f>IF(GapData[[#This Row],[income]] &lt; 0.3, "Low Income", IF(GapData[[#This Row],[income]] &lt; 0.7, "Mid Income", "High Income"))</f>
        <v>High Income</v>
      </c>
    </row>
    <row r="504" spans="1:4">
      <c r="A504" s="3">
        <v>0.9</v>
      </c>
      <c r="B504">
        <v>1</v>
      </c>
      <c r="C504">
        <v>88</v>
      </c>
      <c r="D504" t="str">
        <f>IF(GapData[[#This Row],[income]] &lt; 0.3, "Low Income", IF(GapData[[#This Row],[income]] &lt; 0.7, "Mid Income", "High Income"))</f>
        <v>High Income</v>
      </c>
    </row>
    <row r="505" spans="1:4">
      <c r="A505" s="3">
        <v>0.8</v>
      </c>
      <c r="B505">
        <v>1</v>
      </c>
      <c r="C505">
        <v>162</v>
      </c>
      <c r="D505" t="str">
        <f>IF(GapData[[#This Row],[income]] &lt; 0.3, "Low Income", IF(GapData[[#This Row],[income]] &lt; 0.7, "Mid Income", "High Income"))</f>
        <v>High Income</v>
      </c>
    </row>
    <row r="506" spans="1:4">
      <c r="A506" s="3">
        <v>0.8</v>
      </c>
      <c r="B506">
        <v>1</v>
      </c>
      <c r="C506">
        <v>204</v>
      </c>
      <c r="D506" t="str">
        <f>IF(GapData[[#This Row],[income]] &lt; 0.3, "Low Income", IF(GapData[[#This Row],[income]] &lt; 0.7, "Mid Income", "High Income"))</f>
        <v>High Income</v>
      </c>
    </row>
    <row r="507" spans="1:4">
      <c r="A507" s="3">
        <v>0.9</v>
      </c>
      <c r="B507">
        <v>1</v>
      </c>
      <c r="C507">
        <v>273</v>
      </c>
      <c r="D507" t="str">
        <f>IF(GapData[[#This Row],[income]] &lt; 0.3, "Low Income", IF(GapData[[#This Row],[income]] &lt; 0.7, "Mid Income", "High Income"))</f>
        <v>High Income</v>
      </c>
    </row>
    <row r="508" spans="1:4">
      <c r="A508" s="3">
        <v>0.9</v>
      </c>
      <c r="B508">
        <v>1</v>
      </c>
      <c r="C508">
        <v>202</v>
      </c>
      <c r="D508" t="str">
        <f>IF(GapData[[#This Row],[income]] &lt; 0.3, "Low Income", IF(GapData[[#This Row],[income]] &lt; 0.7, "Mid Income", "High Income"))</f>
        <v>High Income</v>
      </c>
    </row>
    <row r="509" spans="1:4">
      <c r="A509" s="3">
        <v>0.7</v>
      </c>
      <c r="B509">
        <v>1</v>
      </c>
      <c r="C509">
        <v>181</v>
      </c>
      <c r="D509" t="str">
        <f>IF(GapData[[#This Row],[income]] &lt; 0.3, "Low Income", IF(GapData[[#This Row],[income]] &lt; 0.7, "Mid Income", "High Income"))</f>
        <v>High Income</v>
      </c>
    </row>
    <row r="510" spans="1:4">
      <c r="A510" s="3">
        <v>0.9</v>
      </c>
      <c r="B510">
        <v>1</v>
      </c>
      <c r="C510">
        <v>233</v>
      </c>
      <c r="D510" t="str">
        <f>IF(GapData[[#This Row],[income]] &lt; 0.3, "Low Income", IF(GapData[[#This Row],[income]] &lt; 0.7, "Mid Income", "High Income"))</f>
        <v>High Income</v>
      </c>
    </row>
    <row r="511" spans="1:4">
      <c r="A511" s="3">
        <v>0.9</v>
      </c>
      <c r="B511">
        <v>1</v>
      </c>
      <c r="C511">
        <v>235</v>
      </c>
      <c r="D511" t="str">
        <f>IF(GapData[[#This Row],[income]] &lt; 0.3, "Low Income", IF(GapData[[#This Row],[income]] &lt; 0.7, "Mid Income", "High Income"))</f>
        <v>High Income</v>
      </c>
    </row>
    <row r="512" spans="1:4">
      <c r="A512" s="3">
        <v>0.9</v>
      </c>
      <c r="B512">
        <v>1</v>
      </c>
      <c r="C512">
        <v>159</v>
      </c>
      <c r="D512" t="str">
        <f>IF(GapData[[#This Row],[income]] &lt; 0.3, "Low Income", IF(GapData[[#This Row],[income]] &lt; 0.7, "Mid Income", "High Income"))</f>
        <v>High Income</v>
      </c>
    </row>
    <row r="513" spans="1:4">
      <c r="A513" s="3">
        <v>0.9</v>
      </c>
      <c r="B513">
        <v>1</v>
      </c>
      <c r="C513">
        <v>275</v>
      </c>
      <c r="D513" t="str">
        <f>IF(GapData[[#This Row],[income]] &lt; 0.3, "Low Income", IF(GapData[[#This Row],[income]] &lt; 0.7, "Mid Income", "High Income"))</f>
        <v>High Income</v>
      </c>
    </row>
    <row r="514" spans="1:4">
      <c r="A514" s="3">
        <v>0.7</v>
      </c>
      <c r="B514">
        <v>1</v>
      </c>
      <c r="C514">
        <v>202</v>
      </c>
      <c r="D514" t="str">
        <f>IF(GapData[[#This Row],[income]] &lt; 0.3, "Low Income", IF(GapData[[#This Row],[income]] &lt; 0.7, "Mid Income", "High Income"))</f>
        <v>High Income</v>
      </c>
    </row>
    <row r="515" spans="1:4">
      <c r="A515" s="3">
        <v>0.9</v>
      </c>
      <c r="B515">
        <v>1</v>
      </c>
      <c r="C515">
        <v>156</v>
      </c>
      <c r="D515" t="str">
        <f>IF(GapData[[#This Row],[income]] &lt; 0.3, "Low Income", IF(GapData[[#This Row],[income]] &lt; 0.7, "Mid Income", "High Income"))</f>
        <v>High Income</v>
      </c>
    </row>
    <row r="516" spans="1:4">
      <c r="A516" s="3">
        <v>0.9</v>
      </c>
      <c r="B516">
        <v>1</v>
      </c>
      <c r="C516">
        <v>238</v>
      </c>
      <c r="D516" t="str">
        <f>IF(GapData[[#This Row],[income]] &lt; 0.3, "Low Income", IF(GapData[[#This Row],[income]] &lt; 0.7, "Mid Income", "High Income"))</f>
        <v>High Income</v>
      </c>
    </row>
    <row r="517" spans="1:4">
      <c r="A517" s="3">
        <v>0.8</v>
      </c>
      <c r="B517">
        <v>1</v>
      </c>
      <c r="C517">
        <v>104</v>
      </c>
      <c r="D517" t="str">
        <f>IF(GapData[[#This Row],[income]] &lt; 0.3, "Low Income", IF(GapData[[#This Row],[income]] &lt; 0.7, "Mid Income", "High Income"))</f>
        <v>High Income</v>
      </c>
    </row>
    <row r="518" spans="1:4">
      <c r="A518" s="3">
        <v>0.4</v>
      </c>
      <c r="B518">
        <v>1</v>
      </c>
      <c r="C518">
        <v>266</v>
      </c>
      <c r="D518" t="str">
        <f>IF(GapData[[#This Row],[income]] &lt; 0.3, "Low Income", IF(GapData[[#This Row],[income]] &lt; 0.7, "Mid Income", "High Income"))</f>
        <v>Mid Income</v>
      </c>
    </row>
    <row r="519" spans="1:4">
      <c r="A519" s="3">
        <v>0.1</v>
      </c>
      <c r="B519">
        <v>1</v>
      </c>
      <c r="C519">
        <v>222</v>
      </c>
      <c r="D519" t="str">
        <f>IF(GapData[[#This Row],[income]] &lt; 0.3, "Low Income", IF(GapData[[#This Row],[income]] &lt; 0.7, "Mid Income", "High Income"))</f>
        <v>Low Income</v>
      </c>
    </row>
    <row r="520" spans="1:4">
      <c r="A520" s="3">
        <v>0.6</v>
      </c>
      <c r="B520">
        <v>1</v>
      </c>
      <c r="C520">
        <v>103</v>
      </c>
      <c r="D520" t="str">
        <f>IF(GapData[[#This Row],[income]] &lt; 0.3, "Low Income", IF(GapData[[#This Row],[income]] &lt; 0.7, "Mid Income", "High Income"))</f>
        <v>Mid Income</v>
      </c>
    </row>
    <row r="521" spans="1:4">
      <c r="A521" s="3">
        <v>0.9</v>
      </c>
      <c r="B521">
        <v>1</v>
      </c>
      <c r="C521">
        <v>160</v>
      </c>
      <c r="D521" t="str">
        <f>IF(GapData[[#This Row],[income]] &lt; 0.3, "Low Income", IF(GapData[[#This Row],[income]] &lt; 0.7, "Mid Income", "High Income"))</f>
        <v>High Income</v>
      </c>
    </row>
    <row r="522" spans="1:4">
      <c r="A522" s="3">
        <v>0.9</v>
      </c>
      <c r="B522">
        <v>1</v>
      </c>
      <c r="C522">
        <v>202</v>
      </c>
      <c r="D522" t="str">
        <f>IF(GapData[[#This Row],[income]] &lt; 0.3, "Low Income", IF(GapData[[#This Row],[income]] &lt; 0.7, "Mid Income", "High Income"))</f>
        <v>High Income</v>
      </c>
    </row>
    <row r="523" spans="1:4">
      <c r="A523" s="3">
        <v>0.6</v>
      </c>
      <c r="B523">
        <v>1</v>
      </c>
      <c r="C523">
        <v>265</v>
      </c>
      <c r="D523" t="str">
        <f>IF(GapData[[#This Row],[income]] &lt; 0.3, "Low Income", IF(GapData[[#This Row],[income]] &lt; 0.7, "Mid Income", "High Income"))</f>
        <v>Mid Income</v>
      </c>
    </row>
    <row r="524" spans="1:4">
      <c r="A524" s="3">
        <v>0.4</v>
      </c>
      <c r="B524">
        <v>1</v>
      </c>
      <c r="C524">
        <v>86</v>
      </c>
      <c r="D524" t="str">
        <f>IF(GapData[[#This Row],[income]] &lt; 0.3, "Low Income", IF(GapData[[#This Row],[income]] &lt; 0.7, "Mid Income", "High Income"))</f>
        <v>Mid Income</v>
      </c>
    </row>
    <row r="525" spans="1:4">
      <c r="A525" s="3">
        <v>0.4</v>
      </c>
      <c r="B525">
        <v>1</v>
      </c>
      <c r="C525">
        <v>69</v>
      </c>
      <c r="D525" t="str">
        <f>IF(GapData[[#This Row],[income]] &lt; 0.3, "Low Income", IF(GapData[[#This Row],[income]] &lt; 0.7, "Mid Income", "High Income"))</f>
        <v>Mid Income</v>
      </c>
    </row>
    <row r="526" spans="1:4">
      <c r="A526" s="3">
        <v>0.6</v>
      </c>
      <c r="B526">
        <v>1</v>
      </c>
      <c r="C526">
        <v>80</v>
      </c>
      <c r="D526" t="str">
        <f>IF(GapData[[#This Row],[income]] &lt; 0.3, "Low Income", IF(GapData[[#This Row],[income]] &lt; 0.7, "Mid Income", "High Income"))</f>
        <v>Mid Income</v>
      </c>
    </row>
    <row r="527" spans="1:4">
      <c r="A527" s="3">
        <v>0.7</v>
      </c>
      <c r="B527">
        <v>1</v>
      </c>
      <c r="C527">
        <v>144</v>
      </c>
      <c r="D527" t="str">
        <f>IF(GapData[[#This Row],[income]] &lt; 0.3, "Low Income", IF(GapData[[#This Row],[income]] &lt; 0.7, "Mid Income", "High Income"))</f>
        <v>High Income</v>
      </c>
    </row>
    <row r="528" spans="1:4">
      <c r="A528" s="3">
        <v>0.5</v>
      </c>
      <c r="B528">
        <v>1</v>
      </c>
      <c r="C528">
        <v>236</v>
      </c>
      <c r="D528" t="str">
        <f>IF(GapData[[#This Row],[income]] &lt; 0.3, "Low Income", IF(GapData[[#This Row],[income]] &lt; 0.7, "Mid Income", "High Income"))</f>
        <v>Mid Income</v>
      </c>
    </row>
    <row r="529" spans="1:4">
      <c r="A529" s="3">
        <v>0.7</v>
      </c>
      <c r="B529">
        <v>1</v>
      </c>
      <c r="C529">
        <v>175</v>
      </c>
      <c r="D529" t="str">
        <f>IF(GapData[[#This Row],[income]] &lt; 0.3, "Low Income", IF(GapData[[#This Row],[income]] &lt; 0.7, "Mid Income", "High Income"))</f>
        <v>High Income</v>
      </c>
    </row>
    <row r="530" spans="1:4">
      <c r="A530" s="3">
        <v>0.9</v>
      </c>
      <c r="B530">
        <v>1</v>
      </c>
      <c r="C530">
        <v>174</v>
      </c>
      <c r="D530" t="str">
        <f>IF(GapData[[#This Row],[income]] &lt; 0.3, "Low Income", IF(GapData[[#This Row],[income]] &lt; 0.7, "Mid Income", "High Income"))</f>
        <v>High Income</v>
      </c>
    </row>
    <row r="531" spans="1:4">
      <c r="A531" s="3">
        <v>0.4</v>
      </c>
      <c r="B531">
        <v>1</v>
      </c>
      <c r="C531">
        <v>124</v>
      </c>
      <c r="D531" t="str">
        <f>IF(GapData[[#This Row],[income]] &lt; 0.3, "Low Income", IF(GapData[[#This Row],[income]] &lt; 0.7, "Mid Income", "High Income"))</f>
        <v>Mid Income</v>
      </c>
    </row>
    <row r="532" spans="1:4">
      <c r="A532" s="3">
        <v>0.1</v>
      </c>
      <c r="B532">
        <v>1</v>
      </c>
      <c r="C532">
        <v>25</v>
      </c>
      <c r="D532" t="str">
        <f>IF(GapData[[#This Row],[income]] &lt; 0.3, "Low Income", IF(GapData[[#This Row],[income]] &lt; 0.7, "Mid Income", "High Income"))</f>
        <v>Low Income</v>
      </c>
    </row>
    <row r="533" spans="1:4">
      <c r="A533" s="3">
        <v>0.9</v>
      </c>
      <c r="B533">
        <v>1</v>
      </c>
      <c r="C533">
        <v>80</v>
      </c>
      <c r="D533" t="str">
        <f>IF(GapData[[#This Row],[income]] &lt; 0.3, "Low Income", IF(GapData[[#This Row],[income]] &lt; 0.7, "Mid Income", "High Income"))</f>
        <v>High Income</v>
      </c>
    </row>
    <row r="534" spans="1:4">
      <c r="A534" s="3">
        <v>0.8</v>
      </c>
      <c r="B534">
        <v>1</v>
      </c>
      <c r="C534">
        <v>95</v>
      </c>
      <c r="D534" t="str">
        <f>IF(GapData[[#This Row],[income]] &lt; 0.3, "Low Income", IF(GapData[[#This Row],[income]] &lt; 0.7, "Mid Income", "High Income"))</f>
        <v>High Income</v>
      </c>
    </row>
    <row r="535" spans="1:4">
      <c r="A535" s="3">
        <v>0.9</v>
      </c>
      <c r="B535">
        <v>1</v>
      </c>
      <c r="C535">
        <v>62</v>
      </c>
      <c r="D535" t="str">
        <f>IF(GapData[[#This Row],[income]] &lt; 0.3, "Low Income", IF(GapData[[#This Row],[income]] &lt; 0.7, "Mid Income", "High Income"))</f>
        <v>High Income</v>
      </c>
    </row>
    <row r="536" spans="1:4">
      <c r="A536" s="3">
        <v>0.8</v>
      </c>
      <c r="B536">
        <v>1</v>
      </c>
      <c r="C536">
        <v>235</v>
      </c>
      <c r="D536" t="str">
        <f>IF(GapData[[#This Row],[income]] &lt; 0.3, "Low Income", IF(GapData[[#This Row],[income]] &lt; 0.7, "Mid Income", "High Income"))</f>
        <v>High Income</v>
      </c>
    </row>
    <row r="537" spans="1:4">
      <c r="A537" s="3">
        <v>0.8</v>
      </c>
      <c r="B537">
        <v>1</v>
      </c>
      <c r="C537">
        <v>265</v>
      </c>
      <c r="D537" t="str">
        <f>IF(GapData[[#This Row],[income]] &lt; 0.3, "Low Income", IF(GapData[[#This Row],[income]] &lt; 0.7, "Mid Income", "High Income"))</f>
        <v>High Income</v>
      </c>
    </row>
    <row r="538" spans="1:4">
      <c r="A538" s="3">
        <v>0.6</v>
      </c>
      <c r="B538">
        <v>1</v>
      </c>
      <c r="C538">
        <v>268</v>
      </c>
      <c r="D538" t="str">
        <f>IF(GapData[[#This Row],[income]] &lt; 0.3, "Low Income", IF(GapData[[#This Row],[income]] &lt; 0.7, "Mid Income", "High Income"))</f>
        <v>Mid Income</v>
      </c>
    </row>
    <row r="539" spans="1:4">
      <c r="A539" s="3">
        <v>0.9</v>
      </c>
      <c r="B539">
        <v>1</v>
      </c>
      <c r="C539">
        <v>35</v>
      </c>
      <c r="D539" t="str">
        <f>IF(GapData[[#This Row],[income]] &lt; 0.3, "Low Income", IF(GapData[[#This Row],[income]] &lt; 0.7, "Mid Income", "High Income"))</f>
        <v>High Income</v>
      </c>
    </row>
    <row r="540" spans="1:4">
      <c r="A540" s="3">
        <v>0.9</v>
      </c>
      <c r="B540">
        <v>1</v>
      </c>
      <c r="C540">
        <v>213</v>
      </c>
      <c r="D540" t="str">
        <f>IF(GapData[[#This Row],[income]] &lt; 0.3, "Low Income", IF(GapData[[#This Row],[income]] &lt; 0.7, "Mid Income", "High Income"))</f>
        <v>High Income</v>
      </c>
    </row>
    <row r="541" spans="1:4">
      <c r="A541" s="3">
        <v>0.9</v>
      </c>
      <c r="B541">
        <v>1</v>
      </c>
      <c r="C541">
        <v>269</v>
      </c>
      <c r="D541" t="str">
        <f>IF(GapData[[#This Row],[income]] &lt; 0.3, "Low Income", IF(GapData[[#This Row],[income]] &lt; 0.7, "Mid Income", "High Income"))</f>
        <v>High Income</v>
      </c>
    </row>
    <row r="542" spans="1:4">
      <c r="A542" s="3">
        <v>0.9</v>
      </c>
      <c r="B542">
        <v>1</v>
      </c>
      <c r="C542">
        <v>266</v>
      </c>
      <c r="D542" t="str">
        <f>IF(GapData[[#This Row],[income]] &lt; 0.3, "Low Income", IF(GapData[[#This Row],[income]] &lt; 0.7, "Mid Income", "High Income"))</f>
        <v>High Income</v>
      </c>
    </row>
    <row r="543" spans="1:4">
      <c r="A543" s="3">
        <v>0.9</v>
      </c>
      <c r="B543">
        <v>1</v>
      </c>
      <c r="C543">
        <v>171</v>
      </c>
      <c r="D543" t="str">
        <f>IF(GapData[[#This Row],[income]] &lt; 0.3, "Low Income", IF(GapData[[#This Row],[income]] &lt; 0.7, "Mid Income", "High Income"))</f>
        <v>High Income</v>
      </c>
    </row>
    <row r="544" spans="1:4">
      <c r="A544" s="3">
        <v>0.1</v>
      </c>
      <c r="B544">
        <v>1</v>
      </c>
      <c r="C544">
        <v>74</v>
      </c>
      <c r="D544" t="str">
        <f>IF(GapData[[#This Row],[income]] &lt; 0.3, "Low Income", IF(GapData[[#This Row],[income]] &lt; 0.7, "Mid Income", "High Income"))</f>
        <v>Low Income</v>
      </c>
    </row>
    <row r="545" spans="1:4">
      <c r="A545" s="3">
        <v>0.8</v>
      </c>
      <c r="B545">
        <v>1</v>
      </c>
      <c r="C545">
        <v>170</v>
      </c>
      <c r="D545" t="str">
        <f>IF(GapData[[#This Row],[income]] &lt; 0.3, "Low Income", IF(GapData[[#This Row],[income]] &lt; 0.7, "Mid Income", "High Income"))</f>
        <v>High Income</v>
      </c>
    </row>
    <row r="546" spans="1:4">
      <c r="A546" s="3">
        <v>0.8</v>
      </c>
      <c r="B546">
        <v>1</v>
      </c>
      <c r="C546">
        <v>246</v>
      </c>
      <c r="D546" t="str">
        <f>IF(GapData[[#This Row],[income]] &lt; 0.3, "Low Income", IF(GapData[[#This Row],[income]] &lt; 0.7, "Mid Income", "High Income"))</f>
        <v>High Income</v>
      </c>
    </row>
    <row r="547" spans="1:4">
      <c r="A547" s="3">
        <v>0.8</v>
      </c>
      <c r="B547">
        <v>1</v>
      </c>
      <c r="C547">
        <v>277</v>
      </c>
      <c r="D547" t="str">
        <f>IF(GapData[[#This Row],[income]] &lt; 0.3, "Low Income", IF(GapData[[#This Row],[income]] &lt; 0.7, "Mid Income", "High Income"))</f>
        <v>High Income</v>
      </c>
    </row>
    <row r="548" spans="1:4">
      <c r="A548" s="3">
        <v>0.5</v>
      </c>
      <c r="B548">
        <v>1</v>
      </c>
      <c r="C548">
        <v>177</v>
      </c>
      <c r="D548" t="str">
        <f>IF(GapData[[#This Row],[income]] &lt; 0.3, "Low Income", IF(GapData[[#This Row],[income]] &lt; 0.7, "Mid Income", "High Income"))</f>
        <v>Mid Income</v>
      </c>
    </row>
    <row r="549" spans="1:4">
      <c r="A549" s="3">
        <v>0.9</v>
      </c>
      <c r="B549">
        <v>1</v>
      </c>
      <c r="C549">
        <v>98</v>
      </c>
      <c r="D549" t="str">
        <f>IF(GapData[[#This Row],[income]] &lt; 0.3, "Low Income", IF(GapData[[#This Row],[income]] &lt; 0.7, "Mid Income", "High Income"))</f>
        <v>High Income</v>
      </c>
    </row>
    <row r="550" spans="1:4">
      <c r="A550" s="3">
        <v>0.7</v>
      </c>
      <c r="B550">
        <v>1</v>
      </c>
      <c r="C550">
        <v>270</v>
      </c>
      <c r="D550" t="str">
        <f>IF(GapData[[#This Row],[income]] &lt; 0.3, "Low Income", IF(GapData[[#This Row],[income]] &lt; 0.7, "Mid Income", "High Income"))</f>
        <v>High Income</v>
      </c>
    </row>
    <row r="551" spans="1:4">
      <c r="A551" s="3">
        <v>0.1</v>
      </c>
      <c r="B551">
        <v>1</v>
      </c>
      <c r="C551">
        <v>102</v>
      </c>
      <c r="D551" t="str">
        <f>IF(GapData[[#This Row],[income]] &lt; 0.3, "Low Income", IF(GapData[[#This Row],[income]] &lt; 0.7, "Mid Income", "High Income"))</f>
        <v>Low Income</v>
      </c>
    </row>
    <row r="552" spans="1:4">
      <c r="A552" s="3">
        <v>0.5</v>
      </c>
      <c r="B552">
        <v>1</v>
      </c>
      <c r="C552">
        <v>103</v>
      </c>
      <c r="D552" t="str">
        <f>IF(GapData[[#This Row],[income]] &lt; 0.3, "Low Income", IF(GapData[[#This Row],[income]] &lt; 0.7, "Mid Income", "High Income"))</f>
        <v>Mid Income</v>
      </c>
    </row>
    <row r="553" spans="1:4">
      <c r="A553" s="3">
        <v>0.9</v>
      </c>
      <c r="B553">
        <v>1</v>
      </c>
      <c r="C553">
        <v>205</v>
      </c>
      <c r="D553" t="str">
        <f>IF(GapData[[#This Row],[income]] &lt; 0.3, "Low Income", IF(GapData[[#This Row],[income]] &lt; 0.7, "Mid Income", "High Income"))</f>
        <v>High Income</v>
      </c>
    </row>
    <row r="554" spans="1:4">
      <c r="A554" s="3">
        <v>0.8</v>
      </c>
      <c r="B554">
        <v>1</v>
      </c>
      <c r="C554">
        <v>10</v>
      </c>
      <c r="D554" t="str">
        <f>IF(GapData[[#This Row],[income]] &lt; 0.3, "Low Income", IF(GapData[[#This Row],[income]] &lt; 0.7, "Mid Income", "High Income"))</f>
        <v>High Income</v>
      </c>
    </row>
    <row r="555" spans="1:4">
      <c r="A555" s="3">
        <v>0.1</v>
      </c>
      <c r="B555">
        <v>1</v>
      </c>
      <c r="C555">
        <v>100</v>
      </c>
      <c r="D555" t="str">
        <f>IF(GapData[[#This Row],[income]] &lt; 0.3, "Low Income", IF(GapData[[#This Row],[income]] &lt; 0.7, "Mid Income", "High Income"))</f>
        <v>Low Income</v>
      </c>
    </row>
    <row r="556" spans="1:4">
      <c r="A556" s="3">
        <v>0.9</v>
      </c>
      <c r="B556">
        <v>1</v>
      </c>
      <c r="C556">
        <v>81</v>
      </c>
      <c r="D556" t="str">
        <f>IF(GapData[[#This Row],[income]] &lt; 0.3, "Low Income", IF(GapData[[#This Row],[income]] &lt; 0.7, "Mid Income", "High Income"))</f>
        <v>High Income</v>
      </c>
    </row>
    <row r="557" spans="1:4">
      <c r="A557" s="3">
        <v>0.5</v>
      </c>
      <c r="B557">
        <v>1</v>
      </c>
      <c r="C557">
        <v>95</v>
      </c>
      <c r="D557" t="str">
        <f>IF(GapData[[#This Row],[income]] &lt; 0.3, "Low Income", IF(GapData[[#This Row],[income]] &lt; 0.7, "Mid Income", "High Income"))</f>
        <v>Mid Income</v>
      </c>
    </row>
    <row r="558" spans="1:4">
      <c r="A558" s="3">
        <v>0.5</v>
      </c>
      <c r="B558">
        <v>1</v>
      </c>
      <c r="C558">
        <v>100</v>
      </c>
      <c r="D558" t="str">
        <f>IF(GapData[[#This Row],[income]] &lt; 0.3, "Low Income", IF(GapData[[#This Row],[income]] &lt; 0.7, "Mid Income", "High Income"))</f>
        <v>Mid Income</v>
      </c>
    </row>
    <row r="559" spans="1:4">
      <c r="A559" s="3">
        <v>0.8</v>
      </c>
      <c r="B559">
        <v>1</v>
      </c>
      <c r="C559">
        <v>220</v>
      </c>
      <c r="D559" t="str">
        <f>IF(GapData[[#This Row],[income]] &lt; 0.3, "Low Income", IF(GapData[[#This Row],[income]] &lt; 0.7, "Mid Income", "High Income"))</f>
        <v>High Income</v>
      </c>
    </row>
    <row r="560" spans="1:4">
      <c r="A560" s="3">
        <v>0.4</v>
      </c>
      <c r="B560">
        <v>1</v>
      </c>
      <c r="C560">
        <v>16</v>
      </c>
      <c r="D560" t="str">
        <f>IF(GapData[[#This Row],[income]] &lt; 0.3, "Low Income", IF(GapData[[#This Row],[income]] &lt; 0.7, "Mid Income", "High Income"))</f>
        <v>Mid Income</v>
      </c>
    </row>
    <row r="561" spans="1:4">
      <c r="A561" s="3">
        <v>0.6</v>
      </c>
      <c r="B561">
        <v>1</v>
      </c>
      <c r="C561">
        <v>79</v>
      </c>
      <c r="D561" t="str">
        <f>IF(GapData[[#This Row],[income]] &lt; 0.3, "Low Income", IF(GapData[[#This Row],[income]] &lt; 0.7, "Mid Income", "High Income"))</f>
        <v>Mid Income</v>
      </c>
    </row>
    <row r="562" spans="1:4">
      <c r="A562" s="3">
        <v>0.9</v>
      </c>
      <c r="B562">
        <v>1</v>
      </c>
      <c r="C562">
        <v>204</v>
      </c>
      <c r="D562" t="str">
        <f>IF(GapData[[#This Row],[income]] &lt; 0.3, "Low Income", IF(GapData[[#This Row],[income]] &lt; 0.7, "Mid Income", "High Income"))</f>
        <v>High Income</v>
      </c>
    </row>
    <row r="563" spans="1:4">
      <c r="A563" s="3">
        <v>0.9</v>
      </c>
      <c r="B563">
        <v>1</v>
      </c>
      <c r="C563">
        <v>173</v>
      </c>
      <c r="D563" t="str">
        <f>IF(GapData[[#This Row],[income]] &lt; 0.3, "Low Income", IF(GapData[[#This Row],[income]] &lt; 0.7, "Mid Income", "High Income"))</f>
        <v>High Income</v>
      </c>
    </row>
    <row r="564" spans="1:4">
      <c r="A564" s="3">
        <v>0.9</v>
      </c>
      <c r="B564">
        <v>1</v>
      </c>
      <c r="C564">
        <v>163</v>
      </c>
      <c r="D564" t="str">
        <f>IF(GapData[[#This Row],[income]] &lt; 0.3, "Low Income", IF(GapData[[#This Row],[income]] &lt; 0.7, "Mid Income", "High Income"))</f>
        <v>High Income</v>
      </c>
    </row>
    <row r="565" spans="1:4">
      <c r="A565" s="3">
        <v>0.9</v>
      </c>
      <c r="B565">
        <v>1</v>
      </c>
      <c r="C565">
        <v>155</v>
      </c>
      <c r="D565" t="str">
        <f>IF(GapData[[#This Row],[income]] &lt; 0.3, "Low Income", IF(GapData[[#This Row],[income]] &lt; 0.7, "Mid Income", "High Income"))</f>
        <v>High Income</v>
      </c>
    </row>
    <row r="566" spans="1:4">
      <c r="A566" s="3">
        <v>0.9</v>
      </c>
      <c r="B566">
        <v>1</v>
      </c>
      <c r="C566">
        <v>178</v>
      </c>
      <c r="D566" t="str">
        <f>IF(GapData[[#This Row],[income]] &lt; 0.3, "Low Income", IF(GapData[[#This Row],[income]] &lt; 0.7, "Mid Income", "High Income"))</f>
        <v>High Income</v>
      </c>
    </row>
    <row r="567" spans="1:4">
      <c r="A567" s="3">
        <v>0.8</v>
      </c>
      <c r="B567">
        <v>1</v>
      </c>
      <c r="C567">
        <v>268</v>
      </c>
      <c r="D567" t="str">
        <f>IF(GapData[[#This Row],[income]] &lt; 0.3, "Low Income", IF(GapData[[#This Row],[income]] &lt; 0.7, "Mid Income", "High Income"))</f>
        <v>High Income</v>
      </c>
    </row>
    <row r="568" spans="1:4">
      <c r="A568" s="3">
        <v>0.9</v>
      </c>
      <c r="B568">
        <v>1</v>
      </c>
      <c r="C568">
        <v>114</v>
      </c>
      <c r="D568" t="str">
        <f>IF(GapData[[#This Row],[income]] &lt; 0.3, "Low Income", IF(GapData[[#This Row],[income]] &lt; 0.7, "Mid Income", "High Income"))</f>
        <v>High Income</v>
      </c>
    </row>
    <row r="569" spans="1:4">
      <c r="A569" s="3">
        <v>0.8</v>
      </c>
      <c r="B569">
        <v>1</v>
      </c>
      <c r="C569">
        <v>146</v>
      </c>
      <c r="D569" t="str">
        <f>IF(GapData[[#This Row],[income]] &lt; 0.3, "Low Income", IF(GapData[[#This Row],[income]] &lt; 0.7, "Mid Income", "High Income"))</f>
        <v>High Income</v>
      </c>
    </row>
    <row r="570" spans="1:4">
      <c r="A570" s="3">
        <v>0.9</v>
      </c>
      <c r="B570">
        <v>1</v>
      </c>
      <c r="C570">
        <v>286</v>
      </c>
      <c r="D570" t="str">
        <f>IF(GapData[[#This Row],[income]] &lt; 0.3, "Low Income", IF(GapData[[#This Row],[income]] &lt; 0.7, "Mid Income", "High Income"))</f>
        <v>High Income</v>
      </c>
    </row>
    <row r="571" spans="1:4">
      <c r="A571" s="3">
        <v>0.9</v>
      </c>
      <c r="B571">
        <v>1</v>
      </c>
      <c r="C571">
        <v>278</v>
      </c>
      <c r="D571" t="str">
        <f>IF(GapData[[#This Row],[income]] &lt; 0.3, "Low Income", IF(GapData[[#This Row],[income]] &lt; 0.7, "Mid Income", "High Income"))</f>
        <v>High Income</v>
      </c>
    </row>
    <row r="572" spans="1:4">
      <c r="A572" s="3">
        <v>0.8</v>
      </c>
      <c r="B572">
        <v>1</v>
      </c>
      <c r="C572">
        <v>210</v>
      </c>
      <c r="D572" t="str">
        <f>IF(GapData[[#This Row],[income]] &lt; 0.3, "Low Income", IF(GapData[[#This Row],[income]] &lt; 0.7, "Mid Income", "High Income"))</f>
        <v>High Income</v>
      </c>
    </row>
    <row r="573" spans="1:4">
      <c r="A573" s="3">
        <v>0.2</v>
      </c>
      <c r="B573">
        <v>1</v>
      </c>
      <c r="C573">
        <v>176</v>
      </c>
      <c r="D573" t="str">
        <f>IF(GapData[[#This Row],[income]] &lt; 0.3, "Low Income", IF(GapData[[#This Row],[income]] &lt; 0.7, "Mid Income", "High Income"))</f>
        <v>Low Income</v>
      </c>
    </row>
    <row r="574" spans="1:4">
      <c r="A574" s="3">
        <v>0.8</v>
      </c>
      <c r="B574">
        <v>1</v>
      </c>
      <c r="C574">
        <v>286</v>
      </c>
      <c r="D574" t="str">
        <f>IF(GapData[[#This Row],[income]] &lt; 0.3, "Low Income", IF(GapData[[#This Row],[income]] &lt; 0.7, "Mid Income", "High Income"))</f>
        <v>High Income</v>
      </c>
    </row>
    <row r="575" spans="1:4">
      <c r="A575" s="3">
        <v>0.9</v>
      </c>
      <c r="B575">
        <v>1</v>
      </c>
      <c r="C575">
        <v>34</v>
      </c>
      <c r="D575" t="str">
        <f>IF(GapData[[#This Row],[income]] &lt; 0.3, "Low Income", IF(GapData[[#This Row],[income]] &lt; 0.7, "Mid Income", "High Income"))</f>
        <v>High Income</v>
      </c>
    </row>
    <row r="576" spans="1:4">
      <c r="A576" s="3">
        <v>0.9</v>
      </c>
      <c r="B576">
        <v>1</v>
      </c>
      <c r="C576">
        <v>261</v>
      </c>
      <c r="D576" t="str">
        <f>IF(GapData[[#This Row],[income]] &lt; 0.3, "Low Income", IF(GapData[[#This Row],[income]] &lt; 0.7, "Mid Income", "High Income"))</f>
        <v>High Income</v>
      </c>
    </row>
    <row r="577" spans="1:4">
      <c r="A577" s="3">
        <v>0.8</v>
      </c>
      <c r="B577">
        <v>1</v>
      </c>
      <c r="C577">
        <v>112</v>
      </c>
      <c r="D577" t="str">
        <f>IF(GapData[[#This Row],[income]] &lt; 0.3, "Low Income", IF(GapData[[#This Row],[income]] &lt; 0.7, "Mid Income", "High Income"))</f>
        <v>High Income</v>
      </c>
    </row>
    <row r="578" spans="1:4">
      <c r="A578" s="3">
        <v>0.9</v>
      </c>
      <c r="B578">
        <v>1</v>
      </c>
      <c r="C578">
        <v>292</v>
      </c>
      <c r="D578" t="str">
        <f>IF(GapData[[#This Row],[income]] &lt; 0.3, "Low Income", IF(GapData[[#This Row],[income]] &lt; 0.7, "Mid Income", "High Income"))</f>
        <v>High Income</v>
      </c>
    </row>
    <row r="579" spans="1:4">
      <c r="A579" s="3">
        <v>0.8</v>
      </c>
      <c r="B579">
        <v>1</v>
      </c>
      <c r="C579">
        <v>22</v>
      </c>
      <c r="D579" t="str">
        <f>IF(GapData[[#This Row],[income]] &lt; 0.3, "Low Income", IF(GapData[[#This Row],[income]] &lt; 0.7, "Mid Income", "High Income"))</f>
        <v>High Income</v>
      </c>
    </row>
    <row r="580" spans="1:4">
      <c r="A580" s="3">
        <v>0.9</v>
      </c>
      <c r="B580">
        <v>1</v>
      </c>
      <c r="C580">
        <v>172</v>
      </c>
      <c r="D580" t="str">
        <f>IF(GapData[[#This Row],[income]] &lt; 0.3, "Low Income", IF(GapData[[#This Row],[income]] &lt; 0.7, "Mid Income", "High Income"))</f>
        <v>High Income</v>
      </c>
    </row>
    <row r="581" spans="1:4">
      <c r="A581" s="3">
        <v>0.4</v>
      </c>
      <c r="B581">
        <v>1</v>
      </c>
      <c r="C581">
        <v>203</v>
      </c>
      <c r="D581" t="str">
        <f>IF(GapData[[#This Row],[income]] &lt; 0.3, "Low Income", IF(GapData[[#This Row],[income]] &lt; 0.7, "Mid Income", "High Income"))</f>
        <v>Mid Income</v>
      </c>
    </row>
    <row r="582" spans="1:4">
      <c r="A582" s="3">
        <v>0.9</v>
      </c>
      <c r="B582">
        <v>1</v>
      </c>
      <c r="C582">
        <v>257</v>
      </c>
      <c r="D582" t="str">
        <f>IF(GapData[[#This Row],[income]] &lt; 0.3, "Low Income", IF(GapData[[#This Row],[income]] &lt; 0.7, "Mid Income", "High Income"))</f>
        <v>High Income</v>
      </c>
    </row>
    <row r="583" spans="1:4">
      <c r="A583" s="3">
        <v>0.9</v>
      </c>
      <c r="B583">
        <v>1</v>
      </c>
      <c r="C583">
        <v>286</v>
      </c>
      <c r="D583" t="str">
        <f>IF(GapData[[#This Row],[income]] &lt; 0.3, "Low Income", IF(GapData[[#This Row],[income]] &lt; 0.7, "Mid Income", "High Income"))</f>
        <v>High Income</v>
      </c>
    </row>
    <row r="584" spans="1:4">
      <c r="A584" s="3">
        <v>0.9</v>
      </c>
      <c r="B584">
        <v>1</v>
      </c>
      <c r="C584">
        <v>-72</v>
      </c>
      <c r="D584" t="str">
        <f>IF(GapData[[#This Row],[income]] &lt; 0.3, "Low Income", IF(GapData[[#This Row],[income]] &lt; 0.7, "Mid Income", "High Income"))</f>
        <v>High Income</v>
      </c>
    </row>
    <row r="585" spans="1:4">
      <c r="A585" s="3">
        <v>0.9</v>
      </c>
      <c r="B585">
        <v>1</v>
      </c>
      <c r="C585">
        <v>198</v>
      </c>
      <c r="D585" t="str">
        <f>IF(GapData[[#This Row],[income]] &lt; 0.3, "Low Income", IF(GapData[[#This Row],[income]] &lt; 0.7, "Mid Income", "High Income"))</f>
        <v>High Income</v>
      </c>
    </row>
    <row r="586" spans="1:4">
      <c r="A586" s="3">
        <v>0.9</v>
      </c>
      <c r="B586">
        <v>1</v>
      </c>
      <c r="C586">
        <v>181</v>
      </c>
      <c r="D586" t="str">
        <f>IF(GapData[[#This Row],[income]] &lt; 0.3, "Low Income", IF(GapData[[#This Row],[income]] &lt; 0.7, "Mid Income", "High Income"))</f>
        <v>High Income</v>
      </c>
    </row>
    <row r="587" spans="1:4">
      <c r="A587" s="3">
        <v>0.2</v>
      </c>
      <c r="B587">
        <v>1</v>
      </c>
      <c r="C587">
        <v>103</v>
      </c>
      <c r="D587" t="str">
        <f>IF(GapData[[#This Row],[income]] &lt; 0.3, "Low Income", IF(GapData[[#This Row],[income]] &lt; 0.7, "Mid Income", "High Income"))</f>
        <v>Low Income</v>
      </c>
    </row>
    <row r="588" spans="1:4">
      <c r="A588" s="3">
        <v>0.9</v>
      </c>
      <c r="B588">
        <v>1</v>
      </c>
      <c r="C588">
        <v>164</v>
      </c>
      <c r="D588" t="str">
        <f>IF(GapData[[#This Row],[income]] &lt; 0.3, "Low Income", IF(GapData[[#This Row],[income]] &lt; 0.7, "Mid Income", "High Income"))</f>
        <v>High Income</v>
      </c>
    </row>
    <row r="589" spans="1:4">
      <c r="A589" s="3">
        <v>0.9</v>
      </c>
      <c r="B589">
        <v>1</v>
      </c>
      <c r="C589">
        <v>204</v>
      </c>
      <c r="D589" t="str">
        <f>IF(GapData[[#This Row],[income]] &lt; 0.3, "Low Income", IF(GapData[[#This Row],[income]] &lt; 0.7, "Mid Income", "High Income"))</f>
        <v>High Income</v>
      </c>
    </row>
    <row r="590" spans="1:4">
      <c r="A590" s="3">
        <v>0.7</v>
      </c>
      <c r="B590">
        <v>1</v>
      </c>
      <c r="C590">
        <v>186</v>
      </c>
      <c r="D590" t="str">
        <f>IF(GapData[[#This Row],[income]] &lt; 0.3, "Low Income", IF(GapData[[#This Row],[income]] &lt; 0.7, "Mid Income", "High Income"))</f>
        <v>High Income</v>
      </c>
    </row>
    <row r="591" spans="1:4">
      <c r="A591" s="3">
        <v>0.9</v>
      </c>
      <c r="B591">
        <v>1</v>
      </c>
      <c r="C591">
        <v>238</v>
      </c>
      <c r="D591" t="str">
        <f>IF(GapData[[#This Row],[income]] &lt; 0.3, "Low Income", IF(GapData[[#This Row],[income]] &lt; 0.7, "Mid Income", "High Income"))</f>
        <v>High Income</v>
      </c>
    </row>
    <row r="592" spans="1:4">
      <c r="A592" s="3">
        <v>0.8</v>
      </c>
      <c r="B592">
        <v>1</v>
      </c>
      <c r="C592">
        <v>182</v>
      </c>
      <c r="D592" t="str">
        <f>IF(GapData[[#This Row],[income]] &lt; 0.3, "Low Income", IF(GapData[[#This Row],[income]] &lt; 0.7, "Mid Income", "High Income"))</f>
        <v>High Income</v>
      </c>
    </row>
    <row r="593" spans="1:4">
      <c r="A593" s="3">
        <v>0.8</v>
      </c>
      <c r="B593">
        <v>1</v>
      </c>
      <c r="C593">
        <v>226</v>
      </c>
      <c r="D593" t="str">
        <f>IF(GapData[[#This Row],[income]] &lt; 0.3, "Low Income", IF(GapData[[#This Row],[income]] &lt; 0.7, "Mid Income", "High Income"))</f>
        <v>High Income</v>
      </c>
    </row>
    <row r="594" spans="1:4">
      <c r="A594" s="3">
        <v>0.6</v>
      </c>
      <c r="B594">
        <v>1</v>
      </c>
      <c r="C594">
        <v>288</v>
      </c>
      <c r="D594" t="str">
        <f>IF(GapData[[#This Row],[income]] &lt; 0.3, "Low Income", IF(GapData[[#This Row],[income]] &lt; 0.7, "Mid Income", "High Income"))</f>
        <v>Mid Income</v>
      </c>
    </row>
    <row r="595" spans="1:4">
      <c r="A595" s="3">
        <v>0.7</v>
      </c>
      <c r="B595">
        <v>1</v>
      </c>
      <c r="C595">
        <v>285</v>
      </c>
      <c r="D595" t="str">
        <f>IF(GapData[[#This Row],[income]] &lt; 0.3, "Low Income", IF(GapData[[#This Row],[income]] &lt; 0.7, "Mid Income", "High Income"))</f>
        <v>High Income</v>
      </c>
    </row>
    <row r="596" spans="1:4">
      <c r="A596" s="3">
        <v>0.8</v>
      </c>
      <c r="B596">
        <v>1</v>
      </c>
      <c r="C596">
        <v>188</v>
      </c>
      <c r="D596" t="str">
        <f>IF(GapData[[#This Row],[income]] &lt; 0.3, "Low Income", IF(GapData[[#This Row],[income]] &lt; 0.7, "Mid Income", "High Income"))</f>
        <v>High Income</v>
      </c>
    </row>
    <row r="597" spans="1:4">
      <c r="A597" s="3">
        <v>0.8</v>
      </c>
      <c r="B597">
        <v>1</v>
      </c>
      <c r="C597">
        <v>159</v>
      </c>
      <c r="D597" t="str">
        <f>IF(GapData[[#This Row],[income]] &lt; 0.3, "Low Income", IF(GapData[[#This Row],[income]] &lt; 0.7, "Mid Income", "High Income"))</f>
        <v>High Income</v>
      </c>
    </row>
    <row r="598" spans="1:4">
      <c r="A598" s="3">
        <v>0.9</v>
      </c>
      <c r="B598">
        <v>1</v>
      </c>
      <c r="C598">
        <v>245</v>
      </c>
      <c r="D598" t="str">
        <f>IF(GapData[[#This Row],[income]] &lt; 0.3, "Low Income", IF(GapData[[#This Row],[income]] &lt; 0.7, "Mid Income", "High Income"))</f>
        <v>High Income</v>
      </c>
    </row>
    <row r="599" spans="1:4">
      <c r="A599" s="3">
        <v>0.9</v>
      </c>
      <c r="B599">
        <v>1</v>
      </c>
      <c r="C599">
        <v>196</v>
      </c>
      <c r="D599" t="str">
        <f>IF(GapData[[#This Row],[income]] &lt; 0.3, "Low Income", IF(GapData[[#This Row],[income]] &lt; 0.7, "Mid Income", "High Income"))</f>
        <v>High Income</v>
      </c>
    </row>
    <row r="600" spans="1:4">
      <c r="A600" s="3">
        <v>0.9</v>
      </c>
      <c r="B600">
        <v>1</v>
      </c>
      <c r="C600">
        <v>194</v>
      </c>
      <c r="D600" t="str">
        <f>IF(GapData[[#This Row],[income]] &lt; 0.3, "Low Income", IF(GapData[[#This Row],[income]] &lt; 0.7, "Mid Income", "High Income"))</f>
        <v>High Income</v>
      </c>
    </row>
    <row r="601" spans="1:4">
      <c r="A601" s="3">
        <v>0.6</v>
      </c>
      <c r="B601">
        <v>1</v>
      </c>
      <c r="C601">
        <v>68</v>
      </c>
      <c r="D601" t="str">
        <f>IF(GapData[[#This Row],[income]] &lt; 0.3, "Low Income", IF(GapData[[#This Row],[income]] &lt; 0.7, "Mid Income", "High Income"))</f>
        <v>Mid Income</v>
      </c>
    </row>
    <row r="602" spans="1:4">
      <c r="A602" s="3">
        <v>0.3</v>
      </c>
      <c r="B602">
        <v>1</v>
      </c>
      <c r="C602">
        <v>221</v>
      </c>
      <c r="D602" t="str">
        <f>IF(GapData[[#This Row],[income]] &lt; 0.3, "Low Income", IF(GapData[[#This Row],[income]] &lt; 0.7, "Mid Income", "High Income"))</f>
        <v>Mid Income</v>
      </c>
    </row>
    <row r="603" spans="1:4">
      <c r="A603" s="3">
        <v>0.6</v>
      </c>
      <c r="B603">
        <v>1</v>
      </c>
      <c r="C603">
        <v>162</v>
      </c>
      <c r="D603" t="str">
        <f>IF(GapData[[#This Row],[income]] &lt; 0.3, "Low Income", IF(GapData[[#This Row],[income]] &lt; 0.7, "Mid Income", "High Income"))</f>
        <v>Mid Income</v>
      </c>
    </row>
    <row r="604" spans="1:4">
      <c r="A604" s="3">
        <v>0.9</v>
      </c>
      <c r="B604">
        <v>1</v>
      </c>
      <c r="C604">
        <v>84</v>
      </c>
      <c r="D604" t="str">
        <f>IF(GapData[[#This Row],[income]] &lt; 0.3, "Low Income", IF(GapData[[#This Row],[income]] &lt; 0.7, "Mid Income", "High Income"))</f>
        <v>High Income</v>
      </c>
    </row>
    <row r="605" spans="1:4">
      <c r="A605" s="3">
        <v>0.4</v>
      </c>
      <c r="B605">
        <v>1</v>
      </c>
      <c r="C605">
        <v>219</v>
      </c>
      <c r="D605" t="str">
        <f>IF(GapData[[#This Row],[income]] &lt; 0.3, "Low Income", IF(GapData[[#This Row],[income]] &lt; 0.7, "Mid Income", "High Income"))</f>
        <v>Mid Income</v>
      </c>
    </row>
    <row r="606" spans="1:4">
      <c r="A606" s="3">
        <v>0.8</v>
      </c>
      <c r="B606">
        <v>1</v>
      </c>
      <c r="C606">
        <v>196</v>
      </c>
      <c r="D606" t="str">
        <f>IF(GapData[[#This Row],[income]] &lt; 0.3, "Low Income", IF(GapData[[#This Row],[income]] &lt; 0.7, "Mid Income", "High Income"))</f>
        <v>High Income</v>
      </c>
    </row>
    <row r="607" spans="1:4">
      <c r="A607" s="3">
        <v>0.8</v>
      </c>
      <c r="B607">
        <v>1</v>
      </c>
      <c r="C607">
        <v>181</v>
      </c>
      <c r="D607" t="str">
        <f>IF(GapData[[#This Row],[income]] &lt; 0.3, "Low Income", IF(GapData[[#This Row],[income]] &lt; 0.7, "Mid Income", "High Income"))</f>
        <v>High Income</v>
      </c>
    </row>
    <row r="608" spans="1:4">
      <c r="A608" s="3">
        <v>0.9</v>
      </c>
      <c r="B608">
        <v>1</v>
      </c>
      <c r="C608">
        <v>62</v>
      </c>
      <c r="D608" t="str">
        <f>IF(GapData[[#This Row],[income]] &lt; 0.3, "Low Income", IF(GapData[[#This Row],[income]] &lt; 0.7, "Mid Income", "High Income"))</f>
        <v>High Income</v>
      </c>
    </row>
    <row r="609" spans="1:4">
      <c r="A609" s="3">
        <v>0.9</v>
      </c>
      <c r="B609">
        <v>1</v>
      </c>
      <c r="C609">
        <v>232</v>
      </c>
      <c r="D609" t="str">
        <f>IF(GapData[[#This Row],[income]] &lt; 0.3, "Low Income", IF(GapData[[#This Row],[income]] &lt; 0.7, "Mid Income", "High Income"))</f>
        <v>High Income</v>
      </c>
    </row>
    <row r="610" spans="1:4">
      <c r="A610" s="3">
        <v>0.9</v>
      </c>
      <c r="B610">
        <v>1</v>
      </c>
      <c r="C610">
        <v>227</v>
      </c>
      <c r="D610" t="str">
        <f>IF(GapData[[#This Row],[income]] &lt; 0.3, "Low Income", IF(GapData[[#This Row],[income]] &lt; 0.7, "Mid Income", "High Income"))</f>
        <v>High Income</v>
      </c>
    </row>
    <row r="611" spans="1:4">
      <c r="A611" s="3">
        <v>0.9</v>
      </c>
      <c r="B611">
        <v>1</v>
      </c>
      <c r="C611">
        <v>197</v>
      </c>
      <c r="D611" t="str">
        <f>IF(GapData[[#This Row],[income]] &lt; 0.3, "Low Income", IF(GapData[[#This Row],[income]] &lt; 0.7, "Mid Income", "High Income"))</f>
        <v>High Income</v>
      </c>
    </row>
    <row r="612" spans="1:4">
      <c r="A612" s="3">
        <v>0.9</v>
      </c>
      <c r="B612">
        <v>1</v>
      </c>
      <c r="C612">
        <v>101</v>
      </c>
      <c r="D612" t="str">
        <f>IF(GapData[[#This Row],[income]] &lt; 0.3, "Low Income", IF(GapData[[#This Row],[income]] &lt; 0.7, "Mid Income", "High Income"))</f>
        <v>High Income</v>
      </c>
    </row>
    <row r="613" spans="1:4">
      <c r="A613" s="3">
        <v>0.3</v>
      </c>
      <c r="B613">
        <v>1</v>
      </c>
      <c r="C613">
        <v>58</v>
      </c>
      <c r="D613" t="str">
        <f>IF(GapData[[#This Row],[income]] &lt; 0.3, "Low Income", IF(GapData[[#This Row],[income]] &lt; 0.7, "Mid Income", "High Income"))</f>
        <v>Mid Income</v>
      </c>
    </row>
    <row r="614" spans="1:4">
      <c r="A614" s="3">
        <v>0.1</v>
      </c>
      <c r="B614">
        <v>1</v>
      </c>
      <c r="C614">
        <v>117</v>
      </c>
      <c r="D614" t="str">
        <f>IF(GapData[[#This Row],[income]] &lt; 0.3, "Low Income", IF(GapData[[#This Row],[income]] &lt; 0.7, "Mid Income", "High Income"))</f>
        <v>Low Income</v>
      </c>
    </row>
    <row r="615" spans="1:4">
      <c r="A615" s="3">
        <v>0.9</v>
      </c>
      <c r="B615">
        <v>1</v>
      </c>
      <c r="C615">
        <v>231</v>
      </c>
      <c r="D615" t="str">
        <f>IF(GapData[[#This Row],[income]] &lt; 0.3, "Low Income", IF(GapData[[#This Row],[income]] &lt; 0.7, "Mid Income", "High Income"))</f>
        <v>High Income</v>
      </c>
    </row>
    <row r="616" spans="1:4">
      <c r="A616" s="3">
        <v>0.4</v>
      </c>
      <c r="B616">
        <v>1</v>
      </c>
      <c r="C616">
        <v>292</v>
      </c>
      <c r="D616" t="str">
        <f>IF(GapData[[#This Row],[income]] &lt; 0.3, "Low Income", IF(GapData[[#This Row],[income]] &lt; 0.7, "Mid Income", "High Income"))</f>
        <v>Mid Income</v>
      </c>
    </row>
    <row r="617" spans="1:4">
      <c r="A617" s="3">
        <v>0.9</v>
      </c>
      <c r="B617">
        <v>1</v>
      </c>
      <c r="C617">
        <v>169</v>
      </c>
      <c r="D617" t="str">
        <f>IF(GapData[[#This Row],[income]] &lt; 0.3, "Low Income", IF(GapData[[#This Row],[income]] &lt; 0.7, "Mid Income", "High Income"))</f>
        <v>High Income</v>
      </c>
    </row>
    <row r="618" spans="1:4">
      <c r="A618" s="3">
        <v>0.6</v>
      </c>
      <c r="B618">
        <v>1</v>
      </c>
      <c r="C618">
        <v>112</v>
      </c>
      <c r="D618" t="str">
        <f>IF(GapData[[#This Row],[income]] &lt; 0.3, "Low Income", IF(GapData[[#This Row],[income]] &lt; 0.7, "Mid Income", "High Income"))</f>
        <v>Mid Income</v>
      </c>
    </row>
    <row r="619" spans="1:4">
      <c r="A619" s="3">
        <v>0.7</v>
      </c>
      <c r="B619">
        <v>1</v>
      </c>
      <c r="C619">
        <v>276</v>
      </c>
      <c r="D619" t="str">
        <f>IF(GapData[[#This Row],[income]] &lt; 0.3, "Low Income", IF(GapData[[#This Row],[income]] &lt; 0.7, "Mid Income", "High Income"))</f>
        <v>High Income</v>
      </c>
    </row>
    <row r="620" spans="1:4">
      <c r="A620" s="3">
        <v>0.8</v>
      </c>
      <c r="B620">
        <v>1</v>
      </c>
      <c r="C620">
        <v>273</v>
      </c>
      <c r="D620" t="str">
        <f>IF(GapData[[#This Row],[income]] &lt; 0.3, "Low Income", IF(GapData[[#This Row],[income]] &lt; 0.7, "Mid Income", "High Income"))</f>
        <v>High Income</v>
      </c>
    </row>
    <row r="621" spans="1:4">
      <c r="A621" s="3">
        <v>0.6</v>
      </c>
      <c r="B621">
        <v>1</v>
      </c>
      <c r="C621">
        <v>158</v>
      </c>
      <c r="D621" t="str">
        <f>IF(GapData[[#This Row],[income]] &lt; 0.3, "Low Income", IF(GapData[[#This Row],[income]] &lt; 0.7, "Mid Income", "High Income"))</f>
        <v>Mid Income</v>
      </c>
    </row>
    <row r="622" spans="1:4">
      <c r="A622" s="3">
        <v>0.9</v>
      </c>
      <c r="B622">
        <v>1</v>
      </c>
      <c r="C622">
        <v>257</v>
      </c>
      <c r="D622" t="str">
        <f>IF(GapData[[#This Row],[income]] &lt; 0.3, "Low Income", IF(GapData[[#This Row],[income]] &lt; 0.7, "Mid Income", "High Income"))</f>
        <v>High Income</v>
      </c>
    </row>
    <row r="623" spans="1:4">
      <c r="A623" s="3">
        <v>0.9</v>
      </c>
      <c r="B623">
        <v>1</v>
      </c>
      <c r="C623">
        <v>206</v>
      </c>
      <c r="D623" t="str">
        <f>IF(GapData[[#This Row],[income]] &lt; 0.3, "Low Income", IF(GapData[[#This Row],[income]] &lt; 0.7, "Mid Income", "High Income"))</f>
        <v>High Income</v>
      </c>
    </row>
    <row r="624" spans="1:4">
      <c r="A624" s="3">
        <v>0.9</v>
      </c>
      <c r="B624">
        <v>1</v>
      </c>
      <c r="C624">
        <v>285</v>
      </c>
      <c r="D624" t="str">
        <f>IF(GapData[[#This Row],[income]] &lt; 0.3, "Low Income", IF(GapData[[#This Row],[income]] &lt; 0.7, "Mid Income", "High Income"))</f>
        <v>High Income</v>
      </c>
    </row>
    <row r="625" spans="1:4">
      <c r="A625" s="3">
        <v>0.8</v>
      </c>
      <c r="B625">
        <v>1</v>
      </c>
      <c r="C625">
        <v>230</v>
      </c>
      <c r="D625" t="str">
        <f>IF(GapData[[#This Row],[income]] &lt; 0.3, "Low Income", IF(GapData[[#This Row],[income]] &lt; 0.7, "Mid Income", "High Income"))</f>
        <v>High Income</v>
      </c>
    </row>
    <row r="626" spans="1:4">
      <c r="A626" s="3">
        <v>0.6</v>
      </c>
      <c r="B626">
        <v>1</v>
      </c>
      <c r="C626">
        <v>68</v>
      </c>
      <c r="D626" t="str">
        <f>IF(GapData[[#This Row],[income]] &lt; 0.3, "Low Income", IF(GapData[[#This Row],[income]] &lt; 0.7, "Mid Income", "High Income"))</f>
        <v>Mid Income</v>
      </c>
    </row>
    <row r="627" spans="1:4">
      <c r="A627" s="3">
        <v>0.9</v>
      </c>
      <c r="B627">
        <v>1</v>
      </c>
      <c r="C627">
        <v>169</v>
      </c>
      <c r="D627" t="str">
        <f>IF(GapData[[#This Row],[income]] &lt; 0.3, "Low Income", IF(GapData[[#This Row],[income]] &lt; 0.7, "Mid Income", "High Income"))</f>
        <v>High Income</v>
      </c>
    </row>
    <row r="628" spans="1:4">
      <c r="A628" s="3">
        <v>0.4</v>
      </c>
      <c r="B628">
        <v>1</v>
      </c>
      <c r="C628">
        <v>73</v>
      </c>
      <c r="D628" t="str">
        <f>IF(GapData[[#This Row],[income]] &lt; 0.3, "Low Income", IF(GapData[[#This Row],[income]] &lt; 0.7, "Mid Income", "High Income"))</f>
        <v>Mid Income</v>
      </c>
    </row>
    <row r="629" spans="1:4">
      <c r="A629" s="3">
        <v>0.6</v>
      </c>
      <c r="B629">
        <v>1</v>
      </c>
      <c r="C629">
        <v>195</v>
      </c>
      <c r="D629" t="str">
        <f>IF(GapData[[#This Row],[income]] &lt; 0.3, "Low Income", IF(GapData[[#This Row],[income]] &lt; 0.7, "Mid Income", "High Income"))</f>
        <v>Mid Income</v>
      </c>
    </row>
    <row r="630" spans="1:4">
      <c r="A630" s="3">
        <v>0.1</v>
      </c>
      <c r="B630">
        <v>1</v>
      </c>
      <c r="C630">
        <v>69</v>
      </c>
      <c r="D630" t="str">
        <f>IF(GapData[[#This Row],[income]] &lt; 0.3, "Low Income", IF(GapData[[#This Row],[income]] &lt; 0.7, "Mid Income", "High Income"))</f>
        <v>Low Income</v>
      </c>
    </row>
    <row r="631" spans="1:4">
      <c r="A631" s="3">
        <v>0.3</v>
      </c>
      <c r="B631">
        <v>1</v>
      </c>
      <c r="C631">
        <v>81</v>
      </c>
      <c r="D631" t="str">
        <f>IF(GapData[[#This Row],[income]] &lt; 0.3, "Low Income", IF(GapData[[#This Row],[income]] &lt; 0.7, "Mid Income", "High Income"))</f>
        <v>Mid Income</v>
      </c>
    </row>
    <row r="632" spans="1:4">
      <c r="A632" s="3">
        <v>0.1</v>
      </c>
      <c r="B632">
        <v>1</v>
      </c>
      <c r="C632">
        <v>47</v>
      </c>
      <c r="D632" t="str">
        <f>IF(GapData[[#This Row],[income]] &lt; 0.3, "Low Income", IF(GapData[[#This Row],[income]] &lt; 0.7, "Mid Income", "High Income"))</f>
        <v>Low Income</v>
      </c>
    </row>
    <row r="633" spans="1:4">
      <c r="A633" s="3">
        <v>0.8</v>
      </c>
      <c r="B633">
        <v>1</v>
      </c>
      <c r="C633">
        <v>279</v>
      </c>
      <c r="D633" t="str">
        <f>IF(GapData[[#This Row],[income]] &lt; 0.3, "Low Income", IF(GapData[[#This Row],[income]] &lt; 0.7, "Mid Income", "High Income"))</f>
        <v>High Income</v>
      </c>
    </row>
    <row r="634" spans="1:4">
      <c r="A634" s="3">
        <v>0.1</v>
      </c>
      <c r="B634">
        <v>1</v>
      </c>
      <c r="C634">
        <v>194</v>
      </c>
      <c r="D634" t="str">
        <f>IF(GapData[[#This Row],[income]] &lt; 0.3, "Low Income", IF(GapData[[#This Row],[income]] &lt; 0.7, "Mid Income", "High Income"))</f>
        <v>Low Income</v>
      </c>
    </row>
    <row r="635" spans="1:4">
      <c r="A635" s="3">
        <v>0.9</v>
      </c>
      <c r="B635">
        <v>1</v>
      </c>
      <c r="C635">
        <v>180</v>
      </c>
      <c r="D635" t="str">
        <f>IF(GapData[[#This Row],[income]] &lt; 0.3, "Low Income", IF(GapData[[#This Row],[income]] &lt; 0.7, "Mid Income", "High Income"))</f>
        <v>High Income</v>
      </c>
    </row>
    <row r="636" spans="1:4">
      <c r="A636" s="3">
        <v>0.9</v>
      </c>
      <c r="B636">
        <v>1</v>
      </c>
      <c r="C636">
        <v>82</v>
      </c>
      <c r="D636" t="str">
        <f>IF(GapData[[#This Row],[income]] &lt; 0.3, "Low Income", IF(GapData[[#This Row],[income]] &lt; 0.7, "Mid Income", "High Income"))</f>
        <v>High Income</v>
      </c>
    </row>
    <row r="637" spans="1:4">
      <c r="A637" s="3">
        <v>0.6</v>
      </c>
      <c r="B637">
        <v>1</v>
      </c>
      <c r="C637">
        <v>167</v>
      </c>
      <c r="D637" t="str">
        <f>IF(GapData[[#This Row],[income]] &lt; 0.3, "Low Income", IF(GapData[[#This Row],[income]] &lt; 0.7, "Mid Income", "High Income"))</f>
        <v>Mid Income</v>
      </c>
    </row>
    <row r="638" spans="1:4">
      <c r="A638" s="3">
        <v>0.8</v>
      </c>
      <c r="B638">
        <v>1</v>
      </c>
      <c r="C638">
        <v>177</v>
      </c>
      <c r="D638" t="str">
        <f>IF(GapData[[#This Row],[income]] &lt; 0.3, "Low Income", IF(GapData[[#This Row],[income]] &lt; 0.7, "Mid Income", "High Income"))</f>
        <v>High Income</v>
      </c>
    </row>
    <row r="639" spans="1:4">
      <c r="A639" s="3">
        <v>0.9</v>
      </c>
      <c r="B639">
        <v>1</v>
      </c>
      <c r="C639">
        <v>89</v>
      </c>
      <c r="D639" t="str">
        <f>IF(GapData[[#This Row],[income]] &lt; 0.3, "Low Income", IF(GapData[[#This Row],[income]] &lt; 0.7, "Mid Income", "High Income"))</f>
        <v>High Income</v>
      </c>
    </row>
    <row r="640" spans="1:4">
      <c r="A640" s="3">
        <v>0.2</v>
      </c>
      <c r="B640">
        <v>1</v>
      </c>
      <c r="C640">
        <v>66</v>
      </c>
      <c r="D640" t="str">
        <f>IF(GapData[[#This Row],[income]] &lt; 0.3, "Low Income", IF(GapData[[#This Row],[income]] &lt; 0.7, "Mid Income", "High Income"))</f>
        <v>Low Income</v>
      </c>
    </row>
    <row r="641" spans="1:4">
      <c r="A641" s="3">
        <v>0.5</v>
      </c>
      <c r="B641">
        <v>1</v>
      </c>
      <c r="C641">
        <v>168</v>
      </c>
      <c r="D641" t="str">
        <f>IF(GapData[[#This Row],[income]] &lt; 0.3, "Low Income", IF(GapData[[#This Row],[income]] &lt; 0.7, "Mid Income", "High Income"))</f>
        <v>Mid Income</v>
      </c>
    </row>
    <row r="642" spans="1:4">
      <c r="A642" s="3">
        <v>0.4</v>
      </c>
      <c r="B642">
        <v>1</v>
      </c>
      <c r="C642">
        <v>90</v>
      </c>
      <c r="D642" t="str">
        <f>IF(GapData[[#This Row],[income]] &lt; 0.3, "Low Income", IF(GapData[[#This Row],[income]] &lt; 0.7, "Mid Income", "High Income"))</f>
        <v>Mid Income</v>
      </c>
    </row>
    <row r="643" spans="1:4">
      <c r="A643" s="3">
        <v>0.6</v>
      </c>
      <c r="B643">
        <v>1</v>
      </c>
      <c r="C643">
        <v>281</v>
      </c>
      <c r="D643" t="str">
        <f>IF(GapData[[#This Row],[income]] &lt; 0.3, "Low Income", IF(GapData[[#This Row],[income]] &lt; 0.7, "Mid Income", "High Income"))</f>
        <v>Mid Income</v>
      </c>
    </row>
    <row r="644" spans="1:4">
      <c r="A644" s="3">
        <v>0.8</v>
      </c>
      <c r="B644">
        <v>1</v>
      </c>
      <c r="C644">
        <v>151</v>
      </c>
      <c r="D644" t="str">
        <f>IF(GapData[[#This Row],[income]] &lt; 0.3, "Low Income", IF(GapData[[#This Row],[income]] &lt; 0.7, "Mid Income", "High Income"))</f>
        <v>High Income</v>
      </c>
    </row>
    <row r="645" spans="1:4">
      <c r="A645" s="3">
        <v>0.9</v>
      </c>
      <c r="B645">
        <v>1</v>
      </c>
      <c r="C645">
        <v>49</v>
      </c>
      <c r="D645" t="str">
        <f>IF(GapData[[#This Row],[income]] &lt; 0.3, "Low Income", IF(GapData[[#This Row],[income]] &lt; 0.7, "Mid Income", "High Income"))</f>
        <v>High Income</v>
      </c>
    </row>
    <row r="646" spans="1:4">
      <c r="A646" s="3">
        <v>0.9</v>
      </c>
      <c r="B646">
        <v>1</v>
      </c>
      <c r="C646">
        <v>105</v>
      </c>
      <c r="D646" t="str">
        <f>IF(GapData[[#This Row],[income]] &lt; 0.3, "Low Income", IF(GapData[[#This Row],[income]] &lt; 0.7, "Mid Income", "High Income"))</f>
        <v>High Income</v>
      </c>
    </row>
    <row r="647" spans="1:4">
      <c r="A647" s="3">
        <v>0.9</v>
      </c>
      <c r="B647">
        <v>1</v>
      </c>
      <c r="C647">
        <v>147</v>
      </c>
      <c r="D647" t="str">
        <f>IF(GapData[[#This Row],[income]] &lt; 0.3, "Low Income", IF(GapData[[#This Row],[income]] &lt; 0.7, "Mid Income", "High Income"))</f>
        <v>High Income</v>
      </c>
    </row>
    <row r="648" spans="1:4">
      <c r="A648" s="3">
        <v>0.7</v>
      </c>
      <c r="B648">
        <v>1</v>
      </c>
      <c r="C648">
        <v>39</v>
      </c>
      <c r="D648" t="str">
        <f>IF(GapData[[#This Row],[income]] &lt; 0.3, "Low Income", IF(GapData[[#This Row],[income]] &lt; 0.7, "Mid Income", "High Income"))</f>
        <v>High Income</v>
      </c>
    </row>
    <row r="649" spans="1:4">
      <c r="A649" s="3">
        <v>0.9</v>
      </c>
      <c r="B649">
        <v>1</v>
      </c>
      <c r="C649">
        <v>178</v>
      </c>
      <c r="D649" t="str">
        <f>IF(GapData[[#This Row],[income]] &lt; 0.3, "Low Income", IF(GapData[[#This Row],[income]] &lt; 0.7, "Mid Income", "High Income"))</f>
        <v>High Income</v>
      </c>
    </row>
    <row r="650" spans="1:4">
      <c r="A650" s="3">
        <v>0.6</v>
      </c>
      <c r="B650">
        <v>1</v>
      </c>
      <c r="C650">
        <v>233</v>
      </c>
      <c r="D650" t="str">
        <f>IF(GapData[[#This Row],[income]] &lt; 0.3, "Low Income", IF(GapData[[#This Row],[income]] &lt; 0.7, "Mid Income", "High Income"))</f>
        <v>Mid Income</v>
      </c>
    </row>
    <row r="651" spans="1:4">
      <c r="A651" s="3">
        <v>0.2</v>
      </c>
      <c r="B651">
        <v>1</v>
      </c>
      <c r="C651">
        <v>136</v>
      </c>
      <c r="D651" t="str">
        <f>IF(GapData[[#This Row],[income]] &lt; 0.3, "Low Income", IF(GapData[[#This Row],[income]] &lt; 0.7, "Mid Income", "High Income"))</f>
        <v>Low Income</v>
      </c>
    </row>
    <row r="652" spans="1:4">
      <c r="A652" s="3">
        <v>0.7</v>
      </c>
      <c r="B652">
        <v>1</v>
      </c>
      <c r="C652">
        <v>63</v>
      </c>
      <c r="D652" t="str">
        <f>IF(GapData[[#This Row],[income]] &lt; 0.3, "Low Income", IF(GapData[[#This Row],[income]] &lt; 0.7, "Mid Income", "High Income"))</f>
        <v>High Income</v>
      </c>
    </row>
    <row r="653" spans="1:4">
      <c r="A653" s="3">
        <v>0.9</v>
      </c>
      <c r="B653">
        <v>1</v>
      </c>
      <c r="C653">
        <v>146</v>
      </c>
      <c r="D653" t="str">
        <f>IF(GapData[[#This Row],[income]] &lt; 0.3, "Low Income", IF(GapData[[#This Row],[income]] &lt; 0.7, "Mid Income", "High Income"))</f>
        <v>High Income</v>
      </c>
    </row>
    <row r="654" spans="1:4">
      <c r="A654" s="3">
        <v>0.4</v>
      </c>
      <c r="B654">
        <v>1</v>
      </c>
      <c r="C654">
        <v>143</v>
      </c>
      <c r="D654" t="str">
        <f>IF(GapData[[#This Row],[income]] &lt; 0.3, "Low Income", IF(GapData[[#This Row],[income]] &lt; 0.7, "Mid Income", "High Income"))</f>
        <v>Mid Income</v>
      </c>
    </row>
    <row r="655" spans="1:4">
      <c r="A655" s="3">
        <v>0.9</v>
      </c>
      <c r="B655">
        <v>1</v>
      </c>
      <c r="C655">
        <v>113</v>
      </c>
      <c r="D655" t="str">
        <f>IF(GapData[[#This Row],[income]] &lt; 0.3, "Low Income", IF(GapData[[#This Row],[income]] &lt; 0.7, "Mid Income", "High Income"))</f>
        <v>High Income</v>
      </c>
    </row>
    <row r="656" spans="1:4">
      <c r="A656" s="3">
        <v>0.8</v>
      </c>
      <c r="B656">
        <v>1</v>
      </c>
      <c r="C656">
        <v>198</v>
      </c>
      <c r="D656" t="str">
        <f>IF(GapData[[#This Row],[income]] &lt; 0.3, "Low Income", IF(GapData[[#This Row],[income]] &lt; 0.7, "Mid Income", "High Income"))</f>
        <v>High Income</v>
      </c>
    </row>
    <row r="657" spans="1:4">
      <c r="A657" s="3">
        <v>0.8</v>
      </c>
      <c r="B657">
        <v>1</v>
      </c>
      <c r="C657">
        <v>200</v>
      </c>
      <c r="D657" t="str">
        <f>IF(GapData[[#This Row],[income]] &lt; 0.3, "Low Income", IF(GapData[[#This Row],[income]] &lt; 0.7, "Mid Income", "High Income"))</f>
        <v>High Income</v>
      </c>
    </row>
    <row r="658" spans="1:4">
      <c r="A658" s="3">
        <v>0.6</v>
      </c>
      <c r="B658">
        <v>1</v>
      </c>
      <c r="C658">
        <v>279</v>
      </c>
      <c r="D658" t="str">
        <f>IF(GapData[[#This Row],[income]] &lt; 0.3, "Low Income", IF(GapData[[#This Row],[income]] &lt; 0.7, "Mid Income", "High Income"))</f>
        <v>Mid Income</v>
      </c>
    </row>
    <row r="659" spans="1:4">
      <c r="A659" s="3">
        <v>0.1</v>
      </c>
      <c r="B659">
        <v>1</v>
      </c>
      <c r="C659">
        <v>31</v>
      </c>
      <c r="D659" t="str">
        <f>IF(GapData[[#This Row],[income]] &lt; 0.3, "Low Income", IF(GapData[[#This Row],[income]] &lt; 0.7, "Mid Income", "High Income"))</f>
        <v>Low Income</v>
      </c>
    </row>
    <row r="660" spans="1:4">
      <c r="A660" s="3">
        <v>0.7</v>
      </c>
      <c r="B660">
        <v>1</v>
      </c>
      <c r="C660">
        <v>298</v>
      </c>
      <c r="D660" t="str">
        <f>IF(GapData[[#This Row],[income]] &lt; 0.3, "Low Income", IF(GapData[[#This Row],[income]] &lt; 0.7, "Mid Income", "High Income"))</f>
        <v>High Income</v>
      </c>
    </row>
    <row r="661" spans="1:4">
      <c r="A661" s="3">
        <v>0.7</v>
      </c>
      <c r="B661">
        <v>1</v>
      </c>
      <c r="C661">
        <v>241</v>
      </c>
      <c r="D661" t="str">
        <f>IF(GapData[[#This Row],[income]] &lt; 0.3, "Low Income", IF(GapData[[#This Row],[income]] &lt; 0.7, "Mid Income", "High Income"))</f>
        <v>High Income</v>
      </c>
    </row>
    <row r="662" spans="1:4">
      <c r="A662" s="3">
        <v>0.8</v>
      </c>
      <c r="B662">
        <v>1</v>
      </c>
      <c r="C662">
        <v>242</v>
      </c>
      <c r="D662" t="str">
        <f>IF(GapData[[#This Row],[income]] &lt; 0.3, "Low Income", IF(GapData[[#This Row],[income]] &lt; 0.7, "Mid Income", "High Income"))</f>
        <v>High Income</v>
      </c>
    </row>
    <row r="663" spans="1:4">
      <c r="A663" s="3">
        <v>0.9</v>
      </c>
      <c r="B663">
        <v>1</v>
      </c>
      <c r="C663">
        <v>293</v>
      </c>
      <c r="D663" t="str">
        <f>IF(GapData[[#This Row],[income]] &lt; 0.3, "Low Income", IF(GapData[[#This Row],[income]] &lt; 0.7, "Mid Income", "High Income"))</f>
        <v>High Income</v>
      </c>
    </row>
    <row r="664" spans="1:4">
      <c r="A664" s="3">
        <v>0.8</v>
      </c>
      <c r="B664">
        <v>1</v>
      </c>
      <c r="C664">
        <v>241</v>
      </c>
      <c r="D664" t="str">
        <f>IF(GapData[[#This Row],[income]] &lt; 0.3, "Low Income", IF(GapData[[#This Row],[income]] &lt; 0.7, "Mid Income", "High Income"))</f>
        <v>High Income</v>
      </c>
    </row>
    <row r="665" spans="1:4">
      <c r="A665" s="3">
        <v>0.1</v>
      </c>
      <c r="B665">
        <v>1</v>
      </c>
      <c r="C665">
        <v>192</v>
      </c>
      <c r="D665" t="str">
        <f>IF(GapData[[#This Row],[income]] &lt; 0.3, "Low Income", IF(GapData[[#This Row],[income]] &lt; 0.7, "Mid Income", "High Income"))</f>
        <v>Low Income</v>
      </c>
    </row>
    <row r="666" spans="1:4">
      <c r="A666" s="3">
        <v>0.9</v>
      </c>
      <c r="B666">
        <v>1</v>
      </c>
      <c r="C666">
        <v>200</v>
      </c>
      <c r="D666" t="str">
        <f>IF(GapData[[#This Row],[income]] &lt; 0.3, "Low Income", IF(GapData[[#This Row],[income]] &lt; 0.7, "Mid Income", "High Income"))</f>
        <v>High Income</v>
      </c>
    </row>
    <row r="667" spans="1:4">
      <c r="A667" s="3">
        <v>0.2</v>
      </c>
      <c r="B667">
        <v>1</v>
      </c>
      <c r="C667">
        <v>104</v>
      </c>
      <c r="D667" t="str">
        <f>IF(GapData[[#This Row],[income]] &lt; 0.3, "Low Income", IF(GapData[[#This Row],[income]] &lt; 0.7, "Mid Income", "High Income"))</f>
        <v>Low Income</v>
      </c>
    </row>
    <row r="668" spans="1:4">
      <c r="A668" s="3">
        <v>0.9</v>
      </c>
      <c r="B668">
        <v>1</v>
      </c>
      <c r="C668">
        <v>177</v>
      </c>
      <c r="D668" t="str">
        <f>IF(GapData[[#This Row],[income]] &lt; 0.3, "Low Income", IF(GapData[[#This Row],[income]] &lt; 0.7, "Mid Income", "High Income"))</f>
        <v>High Income</v>
      </c>
    </row>
    <row r="669" spans="1:4">
      <c r="A669" s="3">
        <v>0.9</v>
      </c>
      <c r="B669">
        <v>1</v>
      </c>
      <c r="C669">
        <v>191</v>
      </c>
      <c r="D669" t="str">
        <f>IF(GapData[[#This Row],[income]] &lt; 0.3, "Low Income", IF(GapData[[#This Row],[income]] &lt; 0.7, "Mid Income", "High Income"))</f>
        <v>High Income</v>
      </c>
    </row>
    <row r="670" spans="1:4">
      <c r="A670" s="3">
        <v>0.6</v>
      </c>
      <c r="B670">
        <v>1</v>
      </c>
      <c r="C670">
        <v>168</v>
      </c>
      <c r="D670" t="str">
        <f>IF(GapData[[#This Row],[income]] &lt; 0.3, "Low Income", IF(GapData[[#This Row],[income]] &lt; 0.7, "Mid Income", "High Income"))</f>
        <v>Mid Income</v>
      </c>
    </row>
    <row r="671" spans="1:4">
      <c r="A671" s="3">
        <v>0.9</v>
      </c>
      <c r="B671">
        <v>1</v>
      </c>
      <c r="C671">
        <v>292</v>
      </c>
      <c r="D671" t="str">
        <f>IF(GapData[[#This Row],[income]] &lt; 0.3, "Low Income", IF(GapData[[#This Row],[income]] &lt; 0.7, "Mid Income", "High Income"))</f>
        <v>High Income</v>
      </c>
    </row>
    <row r="672" spans="1:4">
      <c r="A672" s="3">
        <v>0.9</v>
      </c>
      <c r="B672">
        <v>1</v>
      </c>
      <c r="C672">
        <v>243</v>
      </c>
      <c r="D672" t="str">
        <f>IF(GapData[[#This Row],[income]] &lt; 0.3, "Low Income", IF(GapData[[#This Row],[income]] &lt; 0.7, "Mid Income", "High Income"))</f>
        <v>High Income</v>
      </c>
    </row>
    <row r="673" spans="1:4">
      <c r="A673" s="3">
        <v>0.8</v>
      </c>
      <c r="B673">
        <v>1</v>
      </c>
      <c r="C673">
        <v>105</v>
      </c>
      <c r="D673" t="str">
        <f>IF(GapData[[#This Row],[income]] &lt; 0.3, "Low Income", IF(GapData[[#This Row],[income]] &lt; 0.7, "Mid Income", "High Income"))</f>
        <v>High Income</v>
      </c>
    </row>
    <row r="674" spans="1:4">
      <c r="A674" s="3">
        <v>0.9</v>
      </c>
      <c r="B674">
        <v>1</v>
      </c>
      <c r="C674">
        <v>277</v>
      </c>
      <c r="D674" t="str">
        <f>IF(GapData[[#This Row],[income]] &lt; 0.3, "Low Income", IF(GapData[[#This Row],[income]] &lt; 0.7, "Mid Income", "High Income"))</f>
        <v>High Income</v>
      </c>
    </row>
    <row r="675" spans="1:4">
      <c r="A675" s="3">
        <v>0.9</v>
      </c>
      <c r="B675">
        <v>1</v>
      </c>
      <c r="C675">
        <v>281</v>
      </c>
      <c r="D675" t="str">
        <f>IF(GapData[[#This Row],[income]] &lt; 0.3, "Low Income", IF(GapData[[#This Row],[income]] &lt; 0.7, "Mid Income", "High Income"))</f>
        <v>High Income</v>
      </c>
    </row>
    <row r="676" spans="1:4">
      <c r="A676" s="3">
        <v>0.9</v>
      </c>
      <c r="B676">
        <v>1</v>
      </c>
      <c r="C676">
        <v>154</v>
      </c>
      <c r="D676" t="str">
        <f>IF(GapData[[#This Row],[income]] &lt; 0.3, "Low Income", IF(GapData[[#This Row],[income]] &lt; 0.7, "Mid Income", "High Income"))</f>
        <v>High Income</v>
      </c>
    </row>
    <row r="677" spans="1:4">
      <c r="A677" s="3">
        <v>0.9</v>
      </c>
      <c r="B677">
        <v>1</v>
      </c>
      <c r="C677">
        <v>141</v>
      </c>
      <c r="D677" t="str">
        <f>IF(GapData[[#This Row],[income]] &lt; 0.3, "Low Income", IF(GapData[[#This Row],[income]] &lt; 0.7, "Mid Income", "High Income"))</f>
        <v>High Income</v>
      </c>
    </row>
    <row r="678" spans="1:4">
      <c r="A678" s="3">
        <v>0.3</v>
      </c>
      <c r="B678">
        <v>1</v>
      </c>
      <c r="C678">
        <v>244</v>
      </c>
      <c r="D678" t="str">
        <f>IF(GapData[[#This Row],[income]] &lt; 0.3, "Low Income", IF(GapData[[#This Row],[income]] &lt; 0.7, "Mid Income", "High Income"))</f>
        <v>Mid Income</v>
      </c>
    </row>
    <row r="679" spans="1:4">
      <c r="A679" s="3">
        <v>0.9</v>
      </c>
      <c r="B679">
        <v>1</v>
      </c>
      <c r="C679">
        <v>220</v>
      </c>
      <c r="D679" t="str">
        <f>IF(GapData[[#This Row],[income]] &lt; 0.3, "Low Income", IF(GapData[[#This Row],[income]] &lt; 0.7, "Mid Income", "High Income"))</f>
        <v>High Income</v>
      </c>
    </row>
    <row r="680" spans="1:4">
      <c r="A680" s="3">
        <v>0.2</v>
      </c>
      <c r="B680">
        <v>1</v>
      </c>
      <c r="C680">
        <v>183</v>
      </c>
      <c r="D680" t="str">
        <f>IF(GapData[[#This Row],[income]] &lt; 0.3, "Low Income", IF(GapData[[#This Row],[income]] &lt; 0.7, "Mid Income", "High Income"))</f>
        <v>Low Income</v>
      </c>
    </row>
    <row r="681" spans="1:4">
      <c r="A681" s="3">
        <v>0.4</v>
      </c>
      <c r="B681">
        <v>1</v>
      </c>
      <c r="C681">
        <v>206</v>
      </c>
      <c r="D681" t="str">
        <f>IF(GapData[[#This Row],[income]] &lt; 0.3, "Low Income", IF(GapData[[#This Row],[income]] &lt; 0.7, "Mid Income", "High Income"))</f>
        <v>Mid Income</v>
      </c>
    </row>
    <row r="682" spans="1:4">
      <c r="A682" s="3">
        <v>0.9</v>
      </c>
      <c r="B682">
        <v>1</v>
      </c>
      <c r="C682">
        <v>142</v>
      </c>
      <c r="D682" t="str">
        <f>IF(GapData[[#This Row],[income]] &lt; 0.3, "Low Income", IF(GapData[[#This Row],[income]] &lt; 0.7, "Mid Income", "High Income"))</f>
        <v>High Income</v>
      </c>
    </row>
    <row r="683" spans="1:4">
      <c r="A683" s="3">
        <v>0.5</v>
      </c>
      <c r="B683">
        <v>1</v>
      </c>
      <c r="C683">
        <v>235</v>
      </c>
      <c r="D683" t="str">
        <f>IF(GapData[[#This Row],[income]] &lt; 0.3, "Low Income", IF(GapData[[#This Row],[income]] &lt; 0.7, "Mid Income", "High Income"))</f>
        <v>Mid Income</v>
      </c>
    </row>
    <row r="684" spans="1:4">
      <c r="A684" s="3">
        <v>0.9</v>
      </c>
      <c r="B684">
        <v>1</v>
      </c>
      <c r="C684">
        <v>216</v>
      </c>
      <c r="D684" t="str">
        <f>IF(GapData[[#This Row],[income]] &lt; 0.3, "Low Income", IF(GapData[[#This Row],[income]] &lt; 0.7, "Mid Income", "High Income"))</f>
        <v>High Income</v>
      </c>
    </row>
    <row r="685" spans="1:4">
      <c r="A685" s="3">
        <v>0.9</v>
      </c>
      <c r="B685">
        <v>1</v>
      </c>
      <c r="C685">
        <v>156</v>
      </c>
      <c r="D685" t="str">
        <f>IF(GapData[[#This Row],[income]] &lt; 0.3, "Low Income", IF(GapData[[#This Row],[income]] &lt; 0.7, "Mid Income", "High Income"))</f>
        <v>High Income</v>
      </c>
    </row>
    <row r="686" spans="1:4">
      <c r="A686" s="3">
        <v>0.9</v>
      </c>
      <c r="B686">
        <v>1</v>
      </c>
      <c r="C686">
        <v>122</v>
      </c>
      <c r="D686" t="str">
        <f>IF(GapData[[#This Row],[income]] &lt; 0.3, "Low Income", IF(GapData[[#This Row],[income]] &lt; 0.7, "Mid Income", "High Income"))</f>
        <v>High Income</v>
      </c>
    </row>
    <row r="687" spans="1:4">
      <c r="A687" s="3">
        <v>0.9</v>
      </c>
      <c r="B687">
        <v>1</v>
      </c>
      <c r="C687">
        <v>168</v>
      </c>
      <c r="D687" t="str">
        <f>IF(GapData[[#This Row],[income]] &lt; 0.3, "Low Income", IF(GapData[[#This Row],[income]] &lt; 0.7, "Mid Income", "High Income"))</f>
        <v>High Income</v>
      </c>
    </row>
    <row r="688" spans="1:4">
      <c r="A688" s="3">
        <v>0.7</v>
      </c>
      <c r="B688">
        <v>1</v>
      </c>
      <c r="C688">
        <v>207</v>
      </c>
      <c r="D688" t="str">
        <f>IF(GapData[[#This Row],[income]] &lt; 0.3, "Low Income", IF(GapData[[#This Row],[income]] &lt; 0.7, "Mid Income", "High Income"))</f>
        <v>High Income</v>
      </c>
    </row>
    <row r="689" spans="1:4">
      <c r="A689" s="3">
        <v>0.9</v>
      </c>
      <c r="B689">
        <v>1</v>
      </c>
      <c r="C689">
        <v>167</v>
      </c>
      <c r="D689" t="str">
        <f>IF(GapData[[#This Row],[income]] &lt; 0.3, "Low Income", IF(GapData[[#This Row],[income]] &lt; 0.7, "Mid Income", "High Income"))</f>
        <v>High Income</v>
      </c>
    </row>
    <row r="690" spans="1:4">
      <c r="A690" s="3">
        <v>0.7</v>
      </c>
      <c r="B690">
        <v>1</v>
      </c>
      <c r="C690">
        <v>262</v>
      </c>
      <c r="D690" t="str">
        <f>IF(GapData[[#This Row],[income]] &lt; 0.3, "Low Income", IF(GapData[[#This Row],[income]] &lt; 0.7, "Mid Income", "High Income"))</f>
        <v>High Income</v>
      </c>
    </row>
    <row r="691" spans="1:4">
      <c r="A691" s="3">
        <v>0.7</v>
      </c>
      <c r="B691">
        <v>1</v>
      </c>
      <c r="C691">
        <v>129</v>
      </c>
      <c r="D691" t="str">
        <f>IF(GapData[[#This Row],[income]] &lt; 0.3, "Low Income", IF(GapData[[#This Row],[income]] &lt; 0.7, "Mid Income", "High Income"))</f>
        <v>High Income</v>
      </c>
    </row>
    <row r="692" spans="1:4">
      <c r="A692" s="3">
        <v>0.9</v>
      </c>
      <c r="B692">
        <v>1</v>
      </c>
      <c r="C692">
        <v>143</v>
      </c>
      <c r="D692" t="str">
        <f>IF(GapData[[#This Row],[income]] &lt; 0.3, "Low Income", IF(GapData[[#This Row],[income]] &lt; 0.7, "Mid Income", "High Income"))</f>
        <v>High Income</v>
      </c>
    </row>
    <row r="693" spans="1:4">
      <c r="A693" s="3">
        <v>0.9</v>
      </c>
      <c r="B693">
        <v>1</v>
      </c>
      <c r="C693">
        <v>249</v>
      </c>
      <c r="D693" t="str">
        <f>IF(GapData[[#This Row],[income]] &lt; 0.3, "Low Income", IF(GapData[[#This Row],[income]] &lt; 0.7, "Mid Income", "High Income"))</f>
        <v>High Income</v>
      </c>
    </row>
    <row r="694" spans="1:4">
      <c r="A694" s="3">
        <v>0.9</v>
      </c>
      <c r="B694">
        <v>1</v>
      </c>
      <c r="C694">
        <v>124</v>
      </c>
      <c r="D694" t="str">
        <f>IF(GapData[[#This Row],[income]] &lt; 0.3, "Low Income", IF(GapData[[#This Row],[income]] &lt; 0.7, "Mid Income", "High Income"))</f>
        <v>High Income</v>
      </c>
    </row>
    <row r="695" spans="1:4">
      <c r="A695" s="3">
        <v>0.9</v>
      </c>
      <c r="B695">
        <v>1</v>
      </c>
      <c r="C695">
        <v>222</v>
      </c>
      <c r="D695" t="str">
        <f>IF(GapData[[#This Row],[income]] &lt; 0.3, "Low Income", IF(GapData[[#This Row],[income]] &lt; 0.7, "Mid Income", "High Income"))</f>
        <v>High Income</v>
      </c>
    </row>
    <row r="696" spans="1:4">
      <c r="A696" s="3">
        <v>0.5</v>
      </c>
      <c r="B696">
        <v>1</v>
      </c>
      <c r="C696">
        <v>286</v>
      </c>
      <c r="D696" t="str">
        <f>IF(GapData[[#This Row],[income]] &lt; 0.3, "Low Income", IF(GapData[[#This Row],[income]] &lt; 0.7, "Mid Income", "High Income"))</f>
        <v>Mid Income</v>
      </c>
    </row>
    <row r="697" spans="1:4">
      <c r="A697" s="3">
        <v>0.1</v>
      </c>
      <c r="B697">
        <v>1</v>
      </c>
      <c r="C697">
        <v>239</v>
      </c>
      <c r="D697" t="str">
        <f>IF(GapData[[#This Row],[income]] &lt; 0.3, "Low Income", IF(GapData[[#This Row],[income]] &lt; 0.7, "Mid Income", "High Income"))</f>
        <v>Low Income</v>
      </c>
    </row>
    <row r="698" spans="1:4">
      <c r="A698" s="3">
        <v>0.7</v>
      </c>
      <c r="B698">
        <v>1</v>
      </c>
      <c r="C698">
        <v>102</v>
      </c>
      <c r="D698" t="str">
        <f>IF(GapData[[#This Row],[income]] &lt; 0.3, "Low Income", IF(GapData[[#This Row],[income]] &lt; 0.7, "Mid Income", "High Income"))</f>
        <v>High Income</v>
      </c>
    </row>
    <row r="699" spans="1:4">
      <c r="A699" s="3">
        <v>0.2</v>
      </c>
      <c r="B699">
        <v>1</v>
      </c>
      <c r="C699">
        <v>57</v>
      </c>
      <c r="D699" t="str">
        <f>IF(GapData[[#This Row],[income]] &lt; 0.3, "Low Income", IF(GapData[[#This Row],[income]] &lt; 0.7, "Mid Income", "High Income"))</f>
        <v>Low Income</v>
      </c>
    </row>
    <row r="700" spans="1:4">
      <c r="A700" s="3">
        <v>0.3</v>
      </c>
      <c r="B700">
        <v>1</v>
      </c>
      <c r="C700">
        <v>161</v>
      </c>
      <c r="D700" t="str">
        <f>IF(GapData[[#This Row],[income]] &lt; 0.3, "Low Income", IF(GapData[[#This Row],[income]] &lt; 0.7, "Mid Income", "High Income"))</f>
        <v>Mid Income</v>
      </c>
    </row>
    <row r="701" spans="1:4">
      <c r="A701" s="3">
        <v>0.6</v>
      </c>
      <c r="B701">
        <v>1</v>
      </c>
      <c r="C701">
        <v>218</v>
      </c>
      <c r="D701" t="str">
        <f>IF(GapData[[#This Row],[income]] &lt; 0.3, "Low Income", IF(GapData[[#This Row],[income]] &lt; 0.7, "Mid Income", "High Income"))</f>
        <v>Mid Income</v>
      </c>
    </row>
    <row r="702" spans="1:4">
      <c r="A702" s="3">
        <v>0.8</v>
      </c>
      <c r="B702">
        <v>1</v>
      </c>
      <c r="C702">
        <v>93</v>
      </c>
      <c r="D702" t="str">
        <f>IF(GapData[[#This Row],[income]] &lt; 0.3, "Low Income", IF(GapData[[#This Row],[income]] &lt; 0.7, "Mid Income", "High Income"))</f>
        <v>High Income</v>
      </c>
    </row>
    <row r="703" spans="1:4">
      <c r="A703" s="3">
        <v>0.9</v>
      </c>
      <c r="B703">
        <v>1</v>
      </c>
      <c r="C703">
        <v>162</v>
      </c>
      <c r="D703" t="str">
        <f>IF(GapData[[#This Row],[income]] &lt; 0.3, "Low Income", IF(GapData[[#This Row],[income]] &lt; 0.7, "Mid Income", "High Income"))</f>
        <v>High Income</v>
      </c>
    </row>
    <row r="704" spans="1:4">
      <c r="A704" s="3">
        <v>0.5</v>
      </c>
      <c r="B704">
        <v>1</v>
      </c>
      <c r="C704">
        <v>143</v>
      </c>
      <c r="D704" t="str">
        <f>IF(GapData[[#This Row],[income]] &lt; 0.3, "Low Income", IF(GapData[[#This Row],[income]] &lt; 0.7, "Mid Income", "High Income"))</f>
        <v>Mid Income</v>
      </c>
    </row>
    <row r="705" spans="1:4">
      <c r="A705" s="3">
        <v>0.9</v>
      </c>
      <c r="B705">
        <v>1</v>
      </c>
      <c r="C705">
        <v>168</v>
      </c>
      <c r="D705" t="str">
        <f>IF(GapData[[#This Row],[income]] &lt; 0.3, "Low Income", IF(GapData[[#This Row],[income]] &lt; 0.7, "Mid Income", "High Income"))</f>
        <v>High Income</v>
      </c>
    </row>
    <row r="706" spans="1:4">
      <c r="A706" s="3">
        <v>0.7</v>
      </c>
      <c r="B706">
        <v>1</v>
      </c>
      <c r="C706">
        <v>240</v>
      </c>
      <c r="D706" t="str">
        <f>IF(GapData[[#This Row],[income]] &lt; 0.3, "Low Income", IF(GapData[[#This Row],[income]] &lt; 0.7, "Mid Income", "High Income"))</f>
        <v>High Income</v>
      </c>
    </row>
    <row r="707" spans="1:4">
      <c r="A707" s="3">
        <v>0.8</v>
      </c>
      <c r="B707">
        <v>1</v>
      </c>
      <c r="C707">
        <v>77</v>
      </c>
      <c r="D707" t="str">
        <f>IF(GapData[[#This Row],[income]] &lt; 0.3, "Low Income", IF(GapData[[#This Row],[income]] &lt; 0.7, "Mid Income", "High Income"))</f>
        <v>High Income</v>
      </c>
    </row>
    <row r="708" spans="1:4">
      <c r="A708" s="3">
        <v>0.6</v>
      </c>
      <c r="B708">
        <v>1</v>
      </c>
      <c r="C708">
        <v>121</v>
      </c>
      <c r="D708" t="str">
        <f>IF(GapData[[#This Row],[income]] &lt; 0.3, "Low Income", IF(GapData[[#This Row],[income]] &lt; 0.7, "Mid Income", "High Income"))</f>
        <v>Mid Income</v>
      </c>
    </row>
    <row r="709" spans="1:4">
      <c r="A709" s="3">
        <v>0.3</v>
      </c>
      <c r="B709">
        <v>1</v>
      </c>
      <c r="C709">
        <v>120</v>
      </c>
      <c r="D709" t="str">
        <f>IF(GapData[[#This Row],[income]] &lt; 0.3, "Low Income", IF(GapData[[#This Row],[income]] &lt; 0.7, "Mid Income", "High Income"))</f>
        <v>Mid Income</v>
      </c>
    </row>
    <row r="710" spans="1:4">
      <c r="A710" s="3">
        <v>0.8</v>
      </c>
      <c r="B710">
        <v>1</v>
      </c>
      <c r="C710">
        <v>288</v>
      </c>
      <c r="D710" t="str">
        <f>IF(GapData[[#This Row],[income]] &lt; 0.3, "Low Income", IF(GapData[[#This Row],[income]] &lt; 0.7, "Mid Income", "High Income"))</f>
        <v>High Income</v>
      </c>
    </row>
    <row r="711" spans="1:4">
      <c r="A711" s="3">
        <v>0.8</v>
      </c>
      <c r="B711">
        <v>1</v>
      </c>
      <c r="C711">
        <v>237</v>
      </c>
      <c r="D711" t="str">
        <f>IF(GapData[[#This Row],[income]] &lt; 0.3, "Low Income", IF(GapData[[#This Row],[income]] &lt; 0.7, "Mid Income", "High Income"))</f>
        <v>High Income</v>
      </c>
    </row>
    <row r="712" spans="1:4">
      <c r="A712" s="3">
        <v>0.2</v>
      </c>
      <c r="B712">
        <v>1</v>
      </c>
      <c r="C712">
        <v>193</v>
      </c>
      <c r="D712" t="str">
        <f>IF(GapData[[#This Row],[income]] &lt; 0.3, "Low Income", IF(GapData[[#This Row],[income]] &lt; 0.7, "Mid Income", "High Income"))</f>
        <v>Low Income</v>
      </c>
    </row>
    <row r="713" spans="1:4">
      <c r="A713" s="3">
        <v>0.1</v>
      </c>
      <c r="B713">
        <v>1</v>
      </c>
      <c r="C713">
        <v>108</v>
      </c>
      <c r="D713" t="str">
        <f>IF(GapData[[#This Row],[income]] &lt; 0.3, "Low Income", IF(GapData[[#This Row],[income]] &lt; 0.7, "Mid Income", "High Income"))</f>
        <v>Low Income</v>
      </c>
    </row>
    <row r="714" spans="1:4">
      <c r="A714" s="3">
        <v>0.1</v>
      </c>
      <c r="B714">
        <v>1</v>
      </c>
      <c r="C714">
        <v>175</v>
      </c>
      <c r="D714" t="str">
        <f>IF(GapData[[#This Row],[income]] &lt; 0.3, "Low Income", IF(GapData[[#This Row],[income]] &lt; 0.7, "Mid Income", "High Income"))</f>
        <v>Low Income</v>
      </c>
    </row>
    <row r="715" spans="1:4">
      <c r="A715" s="3">
        <v>0.7</v>
      </c>
      <c r="B715">
        <v>1</v>
      </c>
      <c r="C715">
        <v>188</v>
      </c>
      <c r="D715" t="str">
        <f>IF(GapData[[#This Row],[income]] &lt; 0.3, "Low Income", IF(GapData[[#This Row],[income]] &lt; 0.7, "Mid Income", "High Income"))</f>
        <v>High Income</v>
      </c>
    </row>
    <row r="716" spans="1:4">
      <c r="A716" s="3">
        <v>0.6</v>
      </c>
      <c r="B716">
        <v>1</v>
      </c>
      <c r="C716">
        <v>72</v>
      </c>
      <c r="D716" t="str">
        <f>IF(GapData[[#This Row],[income]] &lt; 0.3, "Low Income", IF(GapData[[#This Row],[income]] &lt; 0.7, "Mid Income", "High Income"))</f>
        <v>Mid Income</v>
      </c>
    </row>
    <row r="717" spans="1:4">
      <c r="A717" s="3">
        <v>0.9</v>
      </c>
      <c r="B717">
        <v>1</v>
      </c>
      <c r="C717">
        <v>250</v>
      </c>
      <c r="D717" t="str">
        <f>IF(GapData[[#This Row],[income]] &lt; 0.3, "Low Income", IF(GapData[[#This Row],[income]] &lt; 0.7, "Mid Income", "High Income"))</f>
        <v>High Income</v>
      </c>
    </row>
    <row r="718" spans="1:4">
      <c r="A718" s="3">
        <v>0.3</v>
      </c>
      <c r="B718">
        <v>1</v>
      </c>
      <c r="C718">
        <v>215</v>
      </c>
      <c r="D718" t="str">
        <f>IF(GapData[[#This Row],[income]] &lt; 0.3, "Low Income", IF(GapData[[#This Row],[income]] &lt; 0.7, "Mid Income", "High Income"))</f>
        <v>Mid Income</v>
      </c>
    </row>
    <row r="719" spans="1:4">
      <c r="A719" s="3">
        <v>0.9</v>
      </c>
      <c r="B719">
        <v>1</v>
      </c>
      <c r="C719">
        <v>104</v>
      </c>
      <c r="D719" t="str">
        <f>IF(GapData[[#This Row],[income]] &lt; 0.3, "Low Income", IF(GapData[[#This Row],[income]] &lt; 0.7, "Mid Income", "High Income"))</f>
        <v>High Income</v>
      </c>
    </row>
    <row r="720" spans="1:4">
      <c r="A720" s="3">
        <v>0.9</v>
      </c>
      <c r="B720">
        <v>1</v>
      </c>
      <c r="C720">
        <v>254</v>
      </c>
      <c r="D720" t="str">
        <f>IF(GapData[[#This Row],[income]] &lt; 0.3, "Low Income", IF(GapData[[#This Row],[income]] &lt; 0.7, "Mid Income", "High Income"))</f>
        <v>High Income</v>
      </c>
    </row>
    <row r="721" spans="1:4">
      <c r="A721" s="3">
        <v>0.9</v>
      </c>
      <c r="B721">
        <v>1</v>
      </c>
      <c r="C721">
        <v>99</v>
      </c>
      <c r="D721" t="str">
        <f>IF(GapData[[#This Row],[income]] &lt; 0.3, "Low Income", IF(GapData[[#This Row],[income]] &lt; 0.7, "Mid Income", "High Income"))</f>
        <v>High Income</v>
      </c>
    </row>
    <row r="722" spans="1:4">
      <c r="A722" s="3">
        <v>0.9</v>
      </c>
      <c r="B722">
        <v>1</v>
      </c>
      <c r="C722">
        <v>208</v>
      </c>
      <c r="D722" t="str">
        <f>IF(GapData[[#This Row],[income]] &lt; 0.3, "Low Income", IF(GapData[[#This Row],[income]] &lt; 0.7, "Mid Income", "High Income"))</f>
        <v>High Income</v>
      </c>
    </row>
    <row r="723" spans="1:4">
      <c r="A723" s="3">
        <v>0.9</v>
      </c>
      <c r="B723">
        <v>1</v>
      </c>
      <c r="C723">
        <v>102</v>
      </c>
      <c r="D723" t="str">
        <f>IF(GapData[[#This Row],[income]] &lt; 0.3, "Low Income", IF(GapData[[#This Row],[income]] &lt; 0.7, "Mid Income", "High Income"))</f>
        <v>High Income</v>
      </c>
    </row>
    <row r="724" spans="1:4">
      <c r="A724" s="3">
        <v>0.1</v>
      </c>
      <c r="B724">
        <v>1</v>
      </c>
      <c r="C724">
        <v>100</v>
      </c>
      <c r="D724" t="str">
        <f>IF(GapData[[#This Row],[income]] &lt; 0.3, "Low Income", IF(GapData[[#This Row],[income]] &lt; 0.7, "Mid Income", "High Income"))</f>
        <v>Low Income</v>
      </c>
    </row>
    <row r="725" spans="1:4">
      <c r="A725" s="3">
        <v>0.7</v>
      </c>
      <c r="B725">
        <v>1</v>
      </c>
      <c r="C725">
        <v>32</v>
      </c>
      <c r="D725" t="str">
        <f>IF(GapData[[#This Row],[income]] &lt; 0.3, "Low Income", IF(GapData[[#This Row],[income]] &lt; 0.7, "Mid Income", "High Income"))</f>
        <v>High Income</v>
      </c>
    </row>
    <row r="726" spans="1:4">
      <c r="A726" s="3">
        <v>0.7</v>
      </c>
      <c r="B726">
        <v>1</v>
      </c>
      <c r="C726">
        <v>114</v>
      </c>
      <c r="D726" t="str">
        <f>IF(GapData[[#This Row],[income]] &lt; 0.3, "Low Income", IF(GapData[[#This Row],[income]] &lt; 0.7, "Mid Income", "High Income"))</f>
        <v>High Income</v>
      </c>
    </row>
    <row r="727" spans="1:4">
      <c r="A727" s="3">
        <v>0.9</v>
      </c>
      <c r="B727">
        <v>1</v>
      </c>
      <c r="C727">
        <v>113</v>
      </c>
      <c r="D727" t="str">
        <f>IF(GapData[[#This Row],[income]] &lt; 0.3, "Low Income", IF(GapData[[#This Row],[income]] &lt; 0.7, "Mid Income", "High Income"))</f>
        <v>High Income</v>
      </c>
    </row>
    <row r="728" spans="1:4">
      <c r="A728" s="3">
        <v>0.9</v>
      </c>
      <c r="B728">
        <v>1</v>
      </c>
      <c r="C728">
        <v>271</v>
      </c>
      <c r="D728" t="str">
        <f>IF(GapData[[#This Row],[income]] &lt; 0.3, "Low Income", IF(GapData[[#This Row],[income]] &lt; 0.7, "Mid Income", "High Income"))</f>
        <v>High Income</v>
      </c>
    </row>
    <row r="729" spans="1:4">
      <c r="A729" s="3">
        <v>0.9</v>
      </c>
      <c r="B729">
        <v>1</v>
      </c>
      <c r="C729">
        <v>294</v>
      </c>
      <c r="D729" t="str">
        <f>IF(GapData[[#This Row],[income]] &lt; 0.3, "Low Income", IF(GapData[[#This Row],[income]] &lt; 0.7, "Mid Income", "High Income"))</f>
        <v>High Income</v>
      </c>
    </row>
    <row r="730" spans="1:4">
      <c r="A730" s="3">
        <v>0.9</v>
      </c>
      <c r="B730">
        <v>1</v>
      </c>
      <c r="C730">
        <v>183</v>
      </c>
      <c r="D730" t="str">
        <f>IF(GapData[[#This Row],[income]] &lt; 0.3, "Low Income", IF(GapData[[#This Row],[income]] &lt; 0.7, "Mid Income", "High Income"))</f>
        <v>High Income</v>
      </c>
    </row>
    <row r="731" spans="1:4">
      <c r="A731" s="3">
        <v>0.9</v>
      </c>
      <c r="B731">
        <v>1</v>
      </c>
      <c r="C731">
        <v>232</v>
      </c>
      <c r="D731" t="str">
        <f>IF(GapData[[#This Row],[income]] &lt; 0.3, "Low Income", IF(GapData[[#This Row],[income]] &lt; 0.7, "Mid Income", "High Income"))</f>
        <v>High Income</v>
      </c>
    </row>
    <row r="732" spans="1:4">
      <c r="A732" s="3">
        <v>0.9</v>
      </c>
      <c r="B732">
        <v>1</v>
      </c>
      <c r="C732">
        <v>231</v>
      </c>
      <c r="D732" t="str">
        <f>IF(GapData[[#This Row],[income]] &lt; 0.3, "Low Income", IF(GapData[[#This Row],[income]] &lt; 0.7, "Mid Income", "High Income"))</f>
        <v>High Income</v>
      </c>
    </row>
    <row r="733" spans="1:4">
      <c r="A733" s="3">
        <v>0.5</v>
      </c>
      <c r="B733">
        <v>1</v>
      </c>
      <c r="C733">
        <v>246</v>
      </c>
      <c r="D733" t="str">
        <f>IF(GapData[[#This Row],[income]] &lt; 0.3, "Low Income", IF(GapData[[#This Row],[income]] &lt; 0.7, "Mid Income", "High Income"))</f>
        <v>Mid Income</v>
      </c>
    </row>
    <row r="734" spans="1:4">
      <c r="A734" s="3">
        <v>0.8</v>
      </c>
      <c r="B734">
        <v>1</v>
      </c>
      <c r="C734">
        <v>194</v>
      </c>
      <c r="D734" t="str">
        <f>IF(GapData[[#This Row],[income]] &lt; 0.3, "Low Income", IF(GapData[[#This Row],[income]] &lt; 0.7, "Mid Income", "High Income"))</f>
        <v>High Income</v>
      </c>
    </row>
    <row r="735" spans="1:4">
      <c r="A735" s="3">
        <v>0.2</v>
      </c>
      <c r="B735">
        <v>1</v>
      </c>
      <c r="C735">
        <v>55</v>
      </c>
      <c r="D735" t="str">
        <f>IF(GapData[[#This Row],[income]] &lt; 0.3, "Low Income", IF(GapData[[#This Row],[income]] &lt; 0.7, "Mid Income", "High Income"))</f>
        <v>Low Income</v>
      </c>
    </row>
    <row r="736" spans="1:4">
      <c r="A736" s="3">
        <v>0.7</v>
      </c>
      <c r="B736">
        <v>1</v>
      </c>
      <c r="C736">
        <v>157</v>
      </c>
      <c r="D736" t="str">
        <f>IF(GapData[[#This Row],[income]] &lt; 0.3, "Low Income", IF(GapData[[#This Row],[income]] &lt; 0.7, "Mid Income", "High Income"))</f>
        <v>High Income</v>
      </c>
    </row>
    <row r="737" spans="1:4">
      <c r="A737" s="3">
        <v>0.8</v>
      </c>
      <c r="B737">
        <v>1</v>
      </c>
      <c r="C737">
        <v>262</v>
      </c>
      <c r="D737" t="str">
        <f>IF(GapData[[#This Row],[income]] &lt; 0.3, "Low Income", IF(GapData[[#This Row],[income]] &lt; 0.7, "Mid Income", "High Income"))</f>
        <v>High Income</v>
      </c>
    </row>
    <row r="738" spans="1:4">
      <c r="A738" s="3">
        <v>0.1</v>
      </c>
      <c r="B738">
        <v>1</v>
      </c>
      <c r="C738">
        <v>206</v>
      </c>
      <c r="D738" t="str">
        <f>IF(GapData[[#This Row],[income]] &lt; 0.3, "Low Income", IF(GapData[[#This Row],[income]] &lt; 0.7, "Mid Income", "High Income"))</f>
        <v>Low Income</v>
      </c>
    </row>
    <row r="739" spans="1:4">
      <c r="A739" s="3">
        <v>0.9</v>
      </c>
      <c r="B739">
        <v>1</v>
      </c>
      <c r="C739">
        <v>21</v>
      </c>
      <c r="D739" t="str">
        <f>IF(GapData[[#This Row],[income]] &lt; 0.3, "Low Income", IF(GapData[[#This Row],[income]] &lt; 0.7, "Mid Income", "High Income"))</f>
        <v>High Income</v>
      </c>
    </row>
    <row r="740" spans="1:4">
      <c r="A740" s="3">
        <v>0.9</v>
      </c>
      <c r="B740">
        <v>1</v>
      </c>
      <c r="C740">
        <v>255</v>
      </c>
      <c r="D740" t="str">
        <f>IF(GapData[[#This Row],[income]] &lt; 0.3, "Low Income", IF(GapData[[#This Row],[income]] &lt; 0.7, "Mid Income", "High Income"))</f>
        <v>High Income</v>
      </c>
    </row>
    <row r="741" spans="1:4">
      <c r="A741" s="3">
        <v>0.9</v>
      </c>
      <c r="B741">
        <v>1</v>
      </c>
      <c r="C741">
        <v>192</v>
      </c>
      <c r="D741" t="str">
        <f>IF(GapData[[#This Row],[income]] &lt; 0.3, "Low Income", IF(GapData[[#This Row],[income]] &lt; 0.7, "Mid Income", "High Income"))</f>
        <v>High Income</v>
      </c>
    </row>
    <row r="742" spans="1:4">
      <c r="A742" s="3">
        <v>0.8</v>
      </c>
      <c r="B742">
        <v>1</v>
      </c>
      <c r="C742">
        <v>230</v>
      </c>
      <c r="D742" t="str">
        <f>IF(GapData[[#This Row],[income]] &lt; 0.3, "Low Income", IF(GapData[[#This Row],[income]] &lt; 0.7, "Mid Income", "High Income"))</f>
        <v>High Income</v>
      </c>
    </row>
    <row r="743" spans="1:4">
      <c r="A743" s="3">
        <v>0.8</v>
      </c>
      <c r="B743">
        <v>1</v>
      </c>
      <c r="C743">
        <v>105</v>
      </c>
      <c r="D743" t="str">
        <f>IF(GapData[[#This Row],[income]] &lt; 0.3, "Low Income", IF(GapData[[#This Row],[income]] &lt; 0.7, "Mid Income", "High Income"))</f>
        <v>High Income</v>
      </c>
    </row>
    <row r="744" spans="1:4">
      <c r="A744" s="3">
        <v>0.7</v>
      </c>
      <c r="B744">
        <v>1</v>
      </c>
      <c r="C744">
        <v>54</v>
      </c>
      <c r="D744" t="str">
        <f>IF(GapData[[#This Row],[income]] &lt; 0.3, "Low Income", IF(GapData[[#This Row],[income]] &lt; 0.7, "Mid Income", "High Income"))</f>
        <v>High Income</v>
      </c>
    </row>
    <row r="745" spans="1:4">
      <c r="A745" s="3">
        <v>0.9</v>
      </c>
      <c r="B745">
        <v>1</v>
      </c>
      <c r="C745">
        <v>143</v>
      </c>
      <c r="D745" t="str">
        <f>IF(GapData[[#This Row],[income]] &lt; 0.3, "Low Income", IF(GapData[[#This Row],[income]] &lt; 0.7, "Mid Income", "High Income"))</f>
        <v>High Income</v>
      </c>
    </row>
    <row r="746" spans="1:4">
      <c r="A746" s="3">
        <v>0.8</v>
      </c>
      <c r="B746">
        <v>1</v>
      </c>
      <c r="C746">
        <v>-9</v>
      </c>
      <c r="D746" t="str">
        <f>IF(GapData[[#This Row],[income]] &lt; 0.3, "Low Income", IF(GapData[[#This Row],[income]] &lt; 0.7, "Mid Income", "High Income"))</f>
        <v>High Income</v>
      </c>
    </row>
    <row r="747" spans="1:4">
      <c r="A747" s="3">
        <v>0.1</v>
      </c>
      <c r="B747">
        <v>1</v>
      </c>
      <c r="C747">
        <v>156</v>
      </c>
      <c r="D747" t="str">
        <f>IF(GapData[[#This Row],[income]] &lt; 0.3, "Low Income", IF(GapData[[#This Row],[income]] &lt; 0.7, "Mid Income", "High Income"))</f>
        <v>Low Income</v>
      </c>
    </row>
    <row r="748" spans="1:4">
      <c r="A748" s="3">
        <v>0.7</v>
      </c>
      <c r="B748">
        <v>1</v>
      </c>
      <c r="C748">
        <v>221</v>
      </c>
      <c r="D748" t="str">
        <f>IF(GapData[[#This Row],[income]] &lt; 0.3, "Low Income", IF(GapData[[#This Row],[income]] &lt; 0.7, "Mid Income", "High Income"))</f>
        <v>High Income</v>
      </c>
    </row>
    <row r="749" spans="1:4">
      <c r="A749" s="3">
        <v>0.6</v>
      </c>
      <c r="B749">
        <v>1</v>
      </c>
      <c r="C749">
        <v>100</v>
      </c>
      <c r="D749" t="str">
        <f>IF(GapData[[#This Row],[income]] &lt; 0.3, "Low Income", IF(GapData[[#This Row],[income]] &lt; 0.7, "Mid Income", "High Income"))</f>
        <v>Mid Income</v>
      </c>
    </row>
    <row r="750" spans="1:4">
      <c r="A750" s="3">
        <v>0.6</v>
      </c>
      <c r="B750">
        <v>1</v>
      </c>
      <c r="C750">
        <v>176</v>
      </c>
      <c r="D750" t="str">
        <f>IF(GapData[[#This Row],[income]] &lt; 0.3, "Low Income", IF(GapData[[#This Row],[income]] &lt; 0.7, "Mid Income", "High Income"))</f>
        <v>Mid Income</v>
      </c>
    </row>
    <row r="751" spans="1:4">
      <c r="A751" s="3">
        <v>0.6</v>
      </c>
      <c r="B751">
        <v>1</v>
      </c>
      <c r="C751">
        <v>128</v>
      </c>
      <c r="D751" t="str">
        <f>IF(GapData[[#This Row],[income]] &lt; 0.3, "Low Income", IF(GapData[[#This Row],[income]] &lt; 0.7, "Mid Income", "High Income"))</f>
        <v>Mid Income</v>
      </c>
    </row>
    <row r="752" spans="1:4">
      <c r="A752" s="3">
        <v>0.9</v>
      </c>
      <c r="B752">
        <v>1</v>
      </c>
      <c r="C752">
        <v>23</v>
      </c>
      <c r="D752" t="str">
        <f>IF(GapData[[#This Row],[income]] &lt; 0.3, "Low Income", IF(GapData[[#This Row],[income]] &lt; 0.7, "Mid Income", "High Income"))</f>
        <v>High Income</v>
      </c>
    </row>
    <row r="753" spans="1:4">
      <c r="A753" s="3">
        <v>0.6</v>
      </c>
      <c r="B753">
        <v>1</v>
      </c>
      <c r="C753">
        <v>78</v>
      </c>
      <c r="D753" t="str">
        <f>IF(GapData[[#This Row],[income]] &lt; 0.3, "Low Income", IF(GapData[[#This Row],[income]] &lt; 0.7, "Mid Income", "High Income"))</f>
        <v>Mid Income</v>
      </c>
    </row>
    <row r="754" spans="1:4">
      <c r="A754" s="3">
        <v>0.6</v>
      </c>
      <c r="B754">
        <v>1</v>
      </c>
      <c r="C754">
        <v>51</v>
      </c>
      <c r="D754" t="str">
        <f>IF(GapData[[#This Row],[income]] &lt; 0.3, "Low Income", IF(GapData[[#This Row],[income]] &lt; 0.7, "Mid Income", "High Income"))</f>
        <v>Mid Income</v>
      </c>
    </row>
    <row r="755" spans="1:4">
      <c r="A755" s="3">
        <v>0.9</v>
      </c>
      <c r="B755">
        <v>1</v>
      </c>
      <c r="C755">
        <v>128</v>
      </c>
      <c r="D755" t="str">
        <f>IF(GapData[[#This Row],[income]] &lt; 0.3, "Low Income", IF(GapData[[#This Row],[income]] &lt; 0.7, "Mid Income", "High Income"))</f>
        <v>High Income</v>
      </c>
    </row>
    <row r="756" spans="1:4">
      <c r="A756" s="3">
        <v>0.7</v>
      </c>
      <c r="B756">
        <v>1</v>
      </c>
      <c r="C756">
        <v>257</v>
      </c>
      <c r="D756" t="str">
        <f>IF(GapData[[#This Row],[income]] &lt; 0.3, "Low Income", IF(GapData[[#This Row],[income]] &lt; 0.7, "Mid Income", "High Income"))</f>
        <v>High Income</v>
      </c>
    </row>
    <row r="757" spans="1:4">
      <c r="A757" s="3">
        <v>0.6</v>
      </c>
      <c r="B757">
        <v>1</v>
      </c>
      <c r="C757">
        <v>127</v>
      </c>
      <c r="D757" t="str">
        <f>IF(GapData[[#This Row],[income]] &lt; 0.3, "Low Income", IF(GapData[[#This Row],[income]] &lt; 0.7, "Mid Income", "High Income"))</f>
        <v>Mid Income</v>
      </c>
    </row>
    <row r="758" spans="1:4">
      <c r="A758" s="3">
        <v>0.6</v>
      </c>
      <c r="B758">
        <v>1</v>
      </c>
      <c r="C758">
        <v>295</v>
      </c>
      <c r="D758" t="str">
        <f>IF(GapData[[#This Row],[income]] &lt; 0.3, "Low Income", IF(GapData[[#This Row],[income]] &lt; 0.7, "Mid Income", "High Income"))</f>
        <v>Mid Income</v>
      </c>
    </row>
    <row r="759" spans="1:4">
      <c r="A759" s="3">
        <v>0.9</v>
      </c>
      <c r="B759">
        <v>1</v>
      </c>
      <c r="C759">
        <v>248</v>
      </c>
      <c r="D759" t="str">
        <f>IF(GapData[[#This Row],[income]] &lt; 0.3, "Low Income", IF(GapData[[#This Row],[income]] &lt; 0.7, "Mid Income", "High Income"))</f>
        <v>High Income</v>
      </c>
    </row>
    <row r="760" spans="1:4">
      <c r="A760" s="3">
        <v>0.1</v>
      </c>
      <c r="B760">
        <v>1</v>
      </c>
      <c r="C760">
        <v>63</v>
      </c>
      <c r="D760" t="str">
        <f>IF(GapData[[#This Row],[income]] &lt; 0.3, "Low Income", IF(GapData[[#This Row],[income]] &lt; 0.7, "Mid Income", "High Income"))</f>
        <v>Low Income</v>
      </c>
    </row>
    <row r="761" spans="1:4">
      <c r="A761" s="3">
        <v>0.9</v>
      </c>
      <c r="B761">
        <v>1</v>
      </c>
      <c r="C761">
        <v>89</v>
      </c>
      <c r="D761" t="str">
        <f>IF(GapData[[#This Row],[income]] &lt; 0.3, "Low Income", IF(GapData[[#This Row],[income]] &lt; 0.7, "Mid Income", "High Income"))</f>
        <v>High Income</v>
      </c>
    </row>
    <row r="762" spans="1:4">
      <c r="A762" s="3">
        <v>0.6</v>
      </c>
      <c r="B762">
        <v>1</v>
      </c>
      <c r="C762">
        <v>116</v>
      </c>
      <c r="D762" t="str">
        <f>IF(GapData[[#This Row],[income]] &lt; 0.3, "Low Income", IF(GapData[[#This Row],[income]] &lt; 0.7, "Mid Income", "High Income"))</f>
        <v>Mid Income</v>
      </c>
    </row>
    <row r="763" spans="1:4">
      <c r="A763" s="3">
        <v>0.9</v>
      </c>
      <c r="B763">
        <v>1</v>
      </c>
      <c r="C763">
        <v>147</v>
      </c>
      <c r="D763" t="str">
        <f>IF(GapData[[#This Row],[income]] &lt; 0.3, "Low Income", IF(GapData[[#This Row],[income]] &lt; 0.7, "Mid Income", "High Income"))</f>
        <v>High Income</v>
      </c>
    </row>
    <row r="764" spans="1:4">
      <c r="A764" s="3">
        <v>0.7</v>
      </c>
      <c r="B764">
        <v>1</v>
      </c>
      <c r="C764">
        <v>185</v>
      </c>
      <c r="D764" t="str">
        <f>IF(GapData[[#This Row],[income]] &lt; 0.3, "Low Income", IF(GapData[[#This Row],[income]] &lt; 0.7, "Mid Income", "High Income"))</f>
        <v>High Income</v>
      </c>
    </row>
    <row r="765" spans="1:4">
      <c r="A765" s="3">
        <v>0.1</v>
      </c>
      <c r="B765">
        <v>1</v>
      </c>
      <c r="C765">
        <v>290</v>
      </c>
      <c r="D765" t="str">
        <f>IF(GapData[[#This Row],[income]] &lt; 0.3, "Low Income", IF(GapData[[#This Row],[income]] &lt; 0.7, "Mid Income", "High Income"))</f>
        <v>Low Income</v>
      </c>
    </row>
    <row r="766" spans="1:4">
      <c r="A766" s="3">
        <v>0.4</v>
      </c>
      <c r="B766">
        <v>1</v>
      </c>
      <c r="C766">
        <v>139</v>
      </c>
      <c r="D766" t="str">
        <f>IF(GapData[[#This Row],[income]] &lt; 0.3, "Low Income", IF(GapData[[#This Row],[income]] &lt; 0.7, "Mid Income", "High Income"))</f>
        <v>Mid Income</v>
      </c>
    </row>
    <row r="767" spans="1:4">
      <c r="A767" s="3">
        <v>0.1</v>
      </c>
      <c r="B767">
        <v>1</v>
      </c>
      <c r="C767">
        <v>16</v>
      </c>
      <c r="D767" t="str">
        <f>IF(GapData[[#This Row],[income]] &lt; 0.3, "Low Income", IF(GapData[[#This Row],[income]] &lt; 0.7, "Mid Income", "High Income"))</f>
        <v>Low Income</v>
      </c>
    </row>
    <row r="768" spans="1:4">
      <c r="A768" s="3">
        <v>0.2</v>
      </c>
      <c r="B768">
        <v>1</v>
      </c>
      <c r="C768">
        <v>64</v>
      </c>
      <c r="D768" t="str">
        <f>IF(GapData[[#This Row],[income]] &lt; 0.3, "Low Income", IF(GapData[[#This Row],[income]] &lt; 0.7, "Mid Income", "High Income"))</f>
        <v>Low Income</v>
      </c>
    </row>
    <row r="769" spans="1:4">
      <c r="A769" s="3">
        <v>0.7</v>
      </c>
      <c r="B769">
        <v>1</v>
      </c>
      <c r="C769">
        <v>279</v>
      </c>
      <c r="D769" t="str">
        <f>IF(GapData[[#This Row],[income]] &lt; 0.3, "Low Income", IF(GapData[[#This Row],[income]] &lt; 0.7, "Mid Income", "High Income"))</f>
        <v>High Income</v>
      </c>
    </row>
    <row r="770" spans="1:4">
      <c r="A770" s="3">
        <v>0.9</v>
      </c>
      <c r="B770">
        <v>1</v>
      </c>
      <c r="C770">
        <v>206</v>
      </c>
      <c r="D770" t="str">
        <f>IF(GapData[[#This Row],[income]] &lt; 0.3, "Low Income", IF(GapData[[#This Row],[income]] &lt; 0.7, "Mid Income", "High Income"))</f>
        <v>High Income</v>
      </c>
    </row>
    <row r="771" spans="1:4">
      <c r="A771" s="3">
        <v>0.9</v>
      </c>
      <c r="B771">
        <v>1</v>
      </c>
      <c r="C771">
        <v>257</v>
      </c>
      <c r="D771" t="str">
        <f>IF(GapData[[#This Row],[income]] &lt; 0.3, "Low Income", IF(GapData[[#This Row],[income]] &lt; 0.7, "Mid Income", "High Income"))</f>
        <v>High Income</v>
      </c>
    </row>
    <row r="772" spans="1:4">
      <c r="A772" s="3">
        <v>0.9</v>
      </c>
      <c r="B772">
        <v>1</v>
      </c>
      <c r="C772">
        <v>253</v>
      </c>
      <c r="D772" t="str">
        <f>IF(GapData[[#This Row],[income]] &lt; 0.3, "Low Income", IF(GapData[[#This Row],[income]] &lt; 0.7, "Mid Income", "High Income"))</f>
        <v>High Income</v>
      </c>
    </row>
    <row r="773" spans="1:4">
      <c r="A773" s="3">
        <v>0.8</v>
      </c>
      <c r="B773">
        <v>1</v>
      </c>
      <c r="C773">
        <v>168</v>
      </c>
      <c r="D773" t="str">
        <f>IF(GapData[[#This Row],[income]] &lt; 0.3, "Low Income", IF(GapData[[#This Row],[income]] &lt; 0.7, "Mid Income", "High Income"))</f>
        <v>High Income</v>
      </c>
    </row>
    <row r="774" spans="1:4">
      <c r="A774" s="3">
        <v>0.9</v>
      </c>
      <c r="B774">
        <v>1</v>
      </c>
      <c r="C774">
        <v>100</v>
      </c>
      <c r="D774" t="str">
        <f>IF(GapData[[#This Row],[income]] &lt; 0.3, "Low Income", IF(GapData[[#This Row],[income]] &lt; 0.7, "Mid Income", "High Income"))</f>
        <v>High Income</v>
      </c>
    </row>
    <row r="775" spans="1:4">
      <c r="A775" s="3">
        <v>0.9</v>
      </c>
      <c r="B775">
        <v>1</v>
      </c>
      <c r="C775">
        <v>295</v>
      </c>
      <c r="D775" t="str">
        <f>IF(GapData[[#This Row],[income]] &lt; 0.3, "Low Income", IF(GapData[[#This Row],[income]] &lt; 0.7, "Mid Income", "High Income"))</f>
        <v>High Income</v>
      </c>
    </row>
    <row r="776" spans="1:4">
      <c r="A776" s="3">
        <v>0.4</v>
      </c>
      <c r="B776">
        <v>1</v>
      </c>
      <c r="C776">
        <v>93</v>
      </c>
      <c r="D776" t="str">
        <f>IF(GapData[[#This Row],[income]] &lt; 0.3, "Low Income", IF(GapData[[#This Row],[income]] &lt; 0.7, "Mid Income", "High Income"))</f>
        <v>Mid Income</v>
      </c>
    </row>
    <row r="777" spans="1:4">
      <c r="A777" s="3">
        <v>0.1</v>
      </c>
      <c r="B777">
        <v>1</v>
      </c>
      <c r="C777">
        <v>195</v>
      </c>
      <c r="D777" t="str">
        <f>IF(GapData[[#This Row],[income]] &lt; 0.3, "Low Income", IF(GapData[[#This Row],[income]] &lt; 0.7, "Mid Income", "High Income"))</f>
        <v>Low Income</v>
      </c>
    </row>
    <row r="778" spans="1:4">
      <c r="A778" s="3">
        <v>0.9</v>
      </c>
      <c r="B778">
        <v>1</v>
      </c>
      <c r="C778">
        <v>267</v>
      </c>
      <c r="D778" t="str">
        <f>IF(GapData[[#This Row],[income]] &lt; 0.3, "Low Income", IF(GapData[[#This Row],[income]] &lt; 0.7, "Mid Income", "High Income"))</f>
        <v>High Income</v>
      </c>
    </row>
    <row r="779" spans="1:4">
      <c r="A779" s="3">
        <v>0.9</v>
      </c>
      <c r="B779">
        <v>1</v>
      </c>
      <c r="C779">
        <v>136</v>
      </c>
      <c r="D779" t="str">
        <f>IF(GapData[[#This Row],[income]] &lt; 0.3, "Low Income", IF(GapData[[#This Row],[income]] &lt; 0.7, "Mid Income", "High Income"))</f>
        <v>High Income</v>
      </c>
    </row>
    <row r="780" spans="1:4">
      <c r="A780" s="3">
        <v>0.9</v>
      </c>
      <c r="B780">
        <v>1</v>
      </c>
      <c r="C780">
        <v>145</v>
      </c>
      <c r="D780" t="str">
        <f>IF(GapData[[#This Row],[income]] &lt; 0.3, "Low Income", IF(GapData[[#This Row],[income]] &lt; 0.7, "Mid Income", "High Income"))</f>
        <v>High Income</v>
      </c>
    </row>
    <row r="781" spans="1:4">
      <c r="A781" s="3">
        <v>0.9</v>
      </c>
      <c r="B781">
        <v>1</v>
      </c>
      <c r="C781">
        <v>184</v>
      </c>
      <c r="D781" t="str">
        <f>IF(GapData[[#This Row],[income]] &lt; 0.3, "Low Income", IF(GapData[[#This Row],[income]] &lt; 0.7, "Mid Income", "High Income"))</f>
        <v>High Income</v>
      </c>
    </row>
    <row r="782" spans="1:4">
      <c r="A782" s="3">
        <v>0.6</v>
      </c>
      <c r="B782">
        <v>1</v>
      </c>
      <c r="C782">
        <v>171</v>
      </c>
      <c r="D782" t="str">
        <f>IF(GapData[[#This Row],[income]] &lt; 0.3, "Low Income", IF(GapData[[#This Row],[income]] &lt; 0.7, "Mid Income", "High Income"))</f>
        <v>Mid Income</v>
      </c>
    </row>
    <row r="783" spans="1:4">
      <c r="A783" s="3">
        <v>0.8</v>
      </c>
      <c r="B783">
        <v>1</v>
      </c>
      <c r="C783">
        <v>285</v>
      </c>
      <c r="D783" t="str">
        <f>IF(GapData[[#This Row],[income]] &lt; 0.3, "Low Income", IF(GapData[[#This Row],[income]] &lt; 0.7, "Mid Income", "High Income"))</f>
        <v>High Income</v>
      </c>
    </row>
    <row r="784" spans="1:4">
      <c r="A784" s="3">
        <v>0.9</v>
      </c>
      <c r="B784">
        <v>1</v>
      </c>
      <c r="C784">
        <v>248</v>
      </c>
      <c r="D784" t="str">
        <f>IF(GapData[[#This Row],[income]] &lt; 0.3, "Low Income", IF(GapData[[#This Row],[income]] &lt; 0.7, "Mid Income", "High Income"))</f>
        <v>High Income</v>
      </c>
    </row>
    <row r="785" spans="1:4">
      <c r="A785" s="3">
        <v>0.9</v>
      </c>
      <c r="B785">
        <v>1</v>
      </c>
      <c r="C785">
        <v>269</v>
      </c>
      <c r="D785" t="str">
        <f>IF(GapData[[#This Row],[income]] &lt; 0.3, "Low Income", IF(GapData[[#This Row],[income]] &lt; 0.7, "Mid Income", "High Income"))</f>
        <v>High Income</v>
      </c>
    </row>
    <row r="786" spans="1:4">
      <c r="A786" s="3">
        <v>0.9</v>
      </c>
      <c r="B786">
        <v>1</v>
      </c>
      <c r="C786">
        <v>167</v>
      </c>
      <c r="D786" t="str">
        <f>IF(GapData[[#This Row],[income]] &lt; 0.3, "Low Income", IF(GapData[[#This Row],[income]] &lt; 0.7, "Mid Income", "High Income"))</f>
        <v>High Income</v>
      </c>
    </row>
    <row r="787" spans="1:4">
      <c r="A787" s="3">
        <v>0.8</v>
      </c>
      <c r="B787">
        <v>1</v>
      </c>
      <c r="C787">
        <v>94</v>
      </c>
      <c r="D787" t="str">
        <f>IF(GapData[[#This Row],[income]] &lt; 0.3, "Low Income", IF(GapData[[#This Row],[income]] &lt; 0.7, "Mid Income", "High Income"))</f>
        <v>High Income</v>
      </c>
    </row>
    <row r="788" spans="1:4">
      <c r="A788" s="3">
        <v>0.9</v>
      </c>
      <c r="B788">
        <v>1</v>
      </c>
      <c r="C788">
        <v>170</v>
      </c>
      <c r="D788" t="str">
        <f>IF(GapData[[#This Row],[income]] &lt; 0.3, "Low Income", IF(GapData[[#This Row],[income]] &lt; 0.7, "Mid Income", "High Income"))</f>
        <v>High Income</v>
      </c>
    </row>
    <row r="789" spans="1:4">
      <c r="A789" s="3">
        <v>0.9</v>
      </c>
      <c r="B789">
        <v>1</v>
      </c>
      <c r="C789">
        <v>152</v>
      </c>
      <c r="D789" t="str">
        <f>IF(GapData[[#This Row],[income]] &lt; 0.3, "Low Income", IF(GapData[[#This Row],[income]] &lt; 0.7, "Mid Income", "High Income"))</f>
        <v>High Income</v>
      </c>
    </row>
    <row r="790" spans="1:4">
      <c r="A790" s="3">
        <v>0.1</v>
      </c>
      <c r="B790">
        <v>1</v>
      </c>
      <c r="C790">
        <v>107</v>
      </c>
      <c r="D790" t="str">
        <f>IF(GapData[[#This Row],[income]] &lt; 0.3, "Low Income", IF(GapData[[#This Row],[income]] &lt; 0.7, "Mid Income", "High Income"))</f>
        <v>Low Income</v>
      </c>
    </row>
    <row r="791" spans="1:4">
      <c r="A791" s="3">
        <v>0.8</v>
      </c>
      <c r="B791">
        <v>1</v>
      </c>
      <c r="C791">
        <v>100</v>
      </c>
      <c r="D791" t="str">
        <f>IF(GapData[[#This Row],[income]] &lt; 0.3, "Low Income", IF(GapData[[#This Row],[income]] &lt; 0.7, "Mid Income", "High Income"))</f>
        <v>High Income</v>
      </c>
    </row>
    <row r="792" spans="1:4">
      <c r="A792" s="3">
        <v>0.9</v>
      </c>
      <c r="B792">
        <v>1</v>
      </c>
      <c r="C792">
        <v>270</v>
      </c>
      <c r="D792" t="str">
        <f>IF(GapData[[#This Row],[income]] &lt; 0.3, "Low Income", IF(GapData[[#This Row],[income]] &lt; 0.7, "Mid Income", "High Income"))</f>
        <v>High Income</v>
      </c>
    </row>
    <row r="793" spans="1:4">
      <c r="A793" s="3">
        <v>0.7</v>
      </c>
      <c r="B793">
        <v>1</v>
      </c>
      <c r="C793">
        <v>116</v>
      </c>
      <c r="D793" t="str">
        <f>IF(GapData[[#This Row],[income]] &lt; 0.3, "Low Income", IF(GapData[[#This Row],[income]] &lt; 0.7, "Mid Income", "High Income"))</f>
        <v>High Income</v>
      </c>
    </row>
    <row r="794" spans="1:4">
      <c r="A794" s="3">
        <v>0.4</v>
      </c>
      <c r="B794">
        <v>1</v>
      </c>
      <c r="C794">
        <v>247</v>
      </c>
      <c r="D794" t="str">
        <f>IF(GapData[[#This Row],[income]] &lt; 0.3, "Low Income", IF(GapData[[#This Row],[income]] &lt; 0.7, "Mid Income", "High Income"))</f>
        <v>Mid Income</v>
      </c>
    </row>
    <row r="795" spans="1:4">
      <c r="A795" s="3">
        <v>0.8</v>
      </c>
      <c r="B795">
        <v>1</v>
      </c>
      <c r="C795">
        <v>52</v>
      </c>
      <c r="D795" t="str">
        <f>IF(GapData[[#This Row],[income]] &lt; 0.3, "Low Income", IF(GapData[[#This Row],[income]] &lt; 0.7, "Mid Income", "High Income"))</f>
        <v>High Income</v>
      </c>
    </row>
    <row r="796" spans="1:4">
      <c r="A796" s="3">
        <v>0.9</v>
      </c>
      <c r="B796">
        <v>1</v>
      </c>
      <c r="C796">
        <v>86</v>
      </c>
      <c r="D796" t="str">
        <f>IF(GapData[[#This Row],[income]] &lt; 0.3, "Low Income", IF(GapData[[#This Row],[income]] &lt; 0.7, "Mid Income", "High Income"))</f>
        <v>High Income</v>
      </c>
    </row>
    <row r="797" spans="1:4">
      <c r="A797" s="3">
        <v>0.9</v>
      </c>
      <c r="B797">
        <v>1</v>
      </c>
      <c r="C797">
        <v>242</v>
      </c>
      <c r="D797" t="str">
        <f>IF(GapData[[#This Row],[income]] &lt; 0.3, "Low Income", IF(GapData[[#This Row],[income]] &lt; 0.7, "Mid Income", "High Income"))</f>
        <v>High Income</v>
      </c>
    </row>
    <row r="798" spans="1:4">
      <c r="A798" s="3">
        <v>0.9</v>
      </c>
      <c r="B798">
        <v>1</v>
      </c>
      <c r="C798">
        <v>175</v>
      </c>
      <c r="D798" t="str">
        <f>IF(GapData[[#This Row],[income]] &lt; 0.3, "Low Income", IF(GapData[[#This Row],[income]] &lt; 0.7, "Mid Income", "High Income"))</f>
        <v>High Income</v>
      </c>
    </row>
    <row r="799" spans="1:4">
      <c r="A799" s="3">
        <v>0.8</v>
      </c>
      <c r="B799">
        <v>1</v>
      </c>
      <c r="C799">
        <v>214</v>
      </c>
      <c r="D799" t="str">
        <f>IF(GapData[[#This Row],[income]] &lt; 0.3, "Low Income", IF(GapData[[#This Row],[income]] &lt; 0.7, "Mid Income", "High Income"))</f>
        <v>High Income</v>
      </c>
    </row>
    <row r="800" spans="1:4">
      <c r="A800" s="3">
        <v>0.6</v>
      </c>
      <c r="B800">
        <v>1</v>
      </c>
      <c r="C800">
        <v>230</v>
      </c>
      <c r="D800" t="str">
        <f>IF(GapData[[#This Row],[income]] &lt; 0.3, "Low Income", IF(GapData[[#This Row],[income]] &lt; 0.7, "Mid Income", "High Income"))</f>
        <v>Mid Income</v>
      </c>
    </row>
    <row r="801" spans="1:4">
      <c r="A801" s="3">
        <v>0.4</v>
      </c>
      <c r="B801">
        <v>1</v>
      </c>
      <c r="C801">
        <v>70</v>
      </c>
      <c r="D801" t="str">
        <f>IF(GapData[[#This Row],[income]] &lt; 0.3, "Low Income", IF(GapData[[#This Row],[income]] &lt; 0.7, "Mid Income", "High Income"))</f>
        <v>Mid Income</v>
      </c>
    </row>
    <row r="802" spans="1:4">
      <c r="A802" s="3">
        <v>0.3</v>
      </c>
      <c r="B802">
        <v>1</v>
      </c>
      <c r="C802">
        <v>194</v>
      </c>
      <c r="D802" t="str">
        <f>IF(GapData[[#This Row],[income]] &lt; 0.3, "Low Income", IF(GapData[[#This Row],[income]] &lt; 0.7, "Mid Income", "High Income"))</f>
        <v>Mid Income</v>
      </c>
    </row>
    <row r="803" spans="1:4">
      <c r="A803" s="3">
        <v>0.8</v>
      </c>
      <c r="B803">
        <v>1</v>
      </c>
      <c r="C803">
        <v>120</v>
      </c>
      <c r="D803" t="str">
        <f>IF(GapData[[#This Row],[income]] &lt; 0.3, "Low Income", IF(GapData[[#This Row],[income]] &lt; 0.7, "Mid Income", "High Income"))</f>
        <v>High Income</v>
      </c>
    </row>
    <row r="804" spans="1:4">
      <c r="A804" s="3">
        <v>0.4</v>
      </c>
      <c r="B804">
        <v>1</v>
      </c>
      <c r="C804">
        <v>294</v>
      </c>
      <c r="D804" t="str">
        <f>IF(GapData[[#This Row],[income]] &lt; 0.3, "Low Income", IF(GapData[[#This Row],[income]] &lt; 0.7, "Mid Income", "High Income"))</f>
        <v>Mid Income</v>
      </c>
    </row>
    <row r="805" spans="1:4">
      <c r="A805" s="3">
        <v>0.1</v>
      </c>
      <c r="B805">
        <v>1</v>
      </c>
      <c r="C805">
        <v>156</v>
      </c>
      <c r="D805" t="str">
        <f>IF(GapData[[#This Row],[income]] &lt; 0.3, "Low Income", IF(GapData[[#This Row],[income]] &lt; 0.7, "Mid Income", "High Income"))</f>
        <v>Low Income</v>
      </c>
    </row>
    <row r="806" spans="1:4">
      <c r="A806" s="3">
        <v>0.9</v>
      </c>
      <c r="B806">
        <v>1</v>
      </c>
      <c r="C806">
        <v>248</v>
      </c>
      <c r="D806" t="str">
        <f>IF(GapData[[#This Row],[income]] &lt; 0.3, "Low Income", IF(GapData[[#This Row],[income]] &lt; 0.7, "Mid Income", "High Income"))</f>
        <v>High Income</v>
      </c>
    </row>
    <row r="807" spans="1:4">
      <c r="A807" s="3">
        <v>0.9</v>
      </c>
      <c r="B807">
        <v>1</v>
      </c>
      <c r="C807">
        <v>177</v>
      </c>
      <c r="D807" t="str">
        <f>IF(GapData[[#This Row],[income]] &lt; 0.3, "Low Income", IF(GapData[[#This Row],[income]] &lt; 0.7, "Mid Income", "High Income"))</f>
        <v>High Income</v>
      </c>
    </row>
    <row r="808" spans="1:4">
      <c r="A808" s="3">
        <v>0.6</v>
      </c>
      <c r="B808">
        <v>1</v>
      </c>
      <c r="C808">
        <v>193</v>
      </c>
      <c r="D808" t="str">
        <f>IF(GapData[[#This Row],[income]] &lt; 0.3, "Low Income", IF(GapData[[#This Row],[income]] &lt; 0.7, "Mid Income", "High Income"))</f>
        <v>Mid Income</v>
      </c>
    </row>
    <row r="809" spans="1:4">
      <c r="A809" s="3">
        <v>0.8</v>
      </c>
      <c r="B809">
        <v>1</v>
      </c>
      <c r="C809">
        <v>160</v>
      </c>
      <c r="D809" t="str">
        <f>IF(GapData[[#This Row],[income]] &lt; 0.3, "Low Income", IF(GapData[[#This Row],[income]] &lt; 0.7, "Mid Income", "High Income"))</f>
        <v>High Income</v>
      </c>
    </row>
    <row r="810" spans="1:4">
      <c r="A810" s="3">
        <v>0.7</v>
      </c>
      <c r="B810">
        <v>1</v>
      </c>
      <c r="C810">
        <v>181</v>
      </c>
      <c r="D810" t="str">
        <f>IF(GapData[[#This Row],[income]] &lt; 0.3, "Low Income", IF(GapData[[#This Row],[income]] &lt; 0.7, "Mid Income", "High Income"))</f>
        <v>High Income</v>
      </c>
    </row>
    <row r="811" spans="1:4">
      <c r="A811" s="3">
        <v>0.1</v>
      </c>
      <c r="B811">
        <v>1</v>
      </c>
      <c r="C811">
        <v>166</v>
      </c>
      <c r="D811" t="str">
        <f>IF(GapData[[#This Row],[income]] &lt; 0.3, "Low Income", IF(GapData[[#This Row],[income]] &lt; 0.7, "Mid Income", "High Income"))</f>
        <v>Low Income</v>
      </c>
    </row>
    <row r="812" spans="1:4">
      <c r="A812" s="3">
        <v>0.9</v>
      </c>
      <c r="B812">
        <v>1</v>
      </c>
      <c r="C812">
        <v>139</v>
      </c>
      <c r="D812" t="str">
        <f>IF(GapData[[#This Row],[income]] &lt; 0.3, "Low Income", IF(GapData[[#This Row],[income]] &lt; 0.7, "Mid Income", "High Income"))</f>
        <v>High Income</v>
      </c>
    </row>
    <row r="813" spans="1:4">
      <c r="A813" s="3">
        <v>0.9</v>
      </c>
      <c r="B813">
        <v>1</v>
      </c>
      <c r="C813">
        <v>250</v>
      </c>
      <c r="D813" t="str">
        <f>IF(GapData[[#This Row],[income]] &lt; 0.3, "Low Income", IF(GapData[[#This Row],[income]] &lt; 0.7, "Mid Income", "High Income"))</f>
        <v>High Income</v>
      </c>
    </row>
    <row r="814" spans="1:4">
      <c r="A814" s="3">
        <v>0.9</v>
      </c>
      <c r="B814">
        <v>1</v>
      </c>
      <c r="C814">
        <v>256</v>
      </c>
      <c r="D814" t="str">
        <f>IF(GapData[[#This Row],[income]] &lt; 0.3, "Low Income", IF(GapData[[#This Row],[income]] &lt; 0.7, "Mid Income", "High Income"))</f>
        <v>High Income</v>
      </c>
    </row>
    <row r="815" spans="1:4">
      <c r="A815" s="3">
        <v>0.7</v>
      </c>
      <c r="B815">
        <v>1</v>
      </c>
      <c r="C815">
        <v>237</v>
      </c>
      <c r="D815" t="str">
        <f>IF(GapData[[#This Row],[income]] &lt; 0.3, "Low Income", IF(GapData[[#This Row],[income]] &lt; 0.7, "Mid Income", "High Income"))</f>
        <v>High Income</v>
      </c>
    </row>
    <row r="816" spans="1:4">
      <c r="A816" s="3">
        <v>0.9</v>
      </c>
      <c r="B816">
        <v>1</v>
      </c>
      <c r="C816">
        <v>129</v>
      </c>
      <c r="D816" t="str">
        <f>IF(GapData[[#This Row],[income]] &lt; 0.3, "Low Income", IF(GapData[[#This Row],[income]] &lt; 0.7, "Mid Income", "High Income"))</f>
        <v>High Income</v>
      </c>
    </row>
    <row r="817" spans="1:4">
      <c r="A817" s="3">
        <v>0.4</v>
      </c>
      <c r="B817">
        <v>1</v>
      </c>
      <c r="C817">
        <v>101</v>
      </c>
      <c r="D817" t="str">
        <f>IF(GapData[[#This Row],[income]] &lt; 0.3, "Low Income", IF(GapData[[#This Row],[income]] &lt; 0.7, "Mid Income", "High Income"))</f>
        <v>Mid Income</v>
      </c>
    </row>
    <row r="818" spans="1:4">
      <c r="A818" s="3">
        <v>0.8</v>
      </c>
      <c r="B818">
        <v>1</v>
      </c>
      <c r="C818">
        <v>230</v>
      </c>
      <c r="D818" t="str">
        <f>IF(GapData[[#This Row],[income]] &lt; 0.3, "Low Income", IF(GapData[[#This Row],[income]] &lt; 0.7, "Mid Income", "High Income"))</f>
        <v>High Income</v>
      </c>
    </row>
    <row r="819" spans="1:4">
      <c r="A819" s="3">
        <v>0.5</v>
      </c>
      <c r="B819">
        <v>1</v>
      </c>
      <c r="C819">
        <v>129</v>
      </c>
      <c r="D819" t="str">
        <f>IF(GapData[[#This Row],[income]] &lt; 0.3, "Low Income", IF(GapData[[#This Row],[income]] &lt; 0.7, "Mid Income", "High Income"))</f>
        <v>Mid Income</v>
      </c>
    </row>
    <row r="820" spans="1:4">
      <c r="A820" s="3">
        <v>0.9</v>
      </c>
      <c r="B820">
        <v>1</v>
      </c>
      <c r="C820">
        <v>194</v>
      </c>
      <c r="D820" t="str">
        <f>IF(GapData[[#This Row],[income]] &lt; 0.3, "Low Income", IF(GapData[[#This Row],[income]] &lt; 0.7, "Mid Income", "High Income"))</f>
        <v>High Income</v>
      </c>
    </row>
    <row r="821" spans="1:4">
      <c r="A821" s="3">
        <v>0.9</v>
      </c>
      <c r="B821">
        <v>1</v>
      </c>
      <c r="C821">
        <v>138</v>
      </c>
      <c r="D821" t="str">
        <f>IF(GapData[[#This Row],[income]] &lt; 0.3, "Low Income", IF(GapData[[#This Row],[income]] &lt; 0.7, "Mid Income", "High Income"))</f>
        <v>High Income</v>
      </c>
    </row>
    <row r="822" spans="1:4">
      <c r="A822" s="3">
        <v>0.9</v>
      </c>
      <c r="B822">
        <v>1</v>
      </c>
      <c r="C822">
        <v>179</v>
      </c>
      <c r="D822" t="str">
        <f>IF(GapData[[#This Row],[income]] &lt; 0.3, "Low Income", IF(GapData[[#This Row],[income]] &lt; 0.7, "Mid Income", "High Income"))</f>
        <v>High Income</v>
      </c>
    </row>
    <row r="823" spans="1:4">
      <c r="A823" s="3">
        <v>0.6</v>
      </c>
      <c r="B823">
        <v>1</v>
      </c>
      <c r="C823">
        <v>165</v>
      </c>
      <c r="D823" t="str">
        <f>IF(GapData[[#This Row],[income]] &lt; 0.3, "Low Income", IF(GapData[[#This Row],[income]] &lt; 0.7, "Mid Income", "High Income"))</f>
        <v>Mid Income</v>
      </c>
    </row>
    <row r="824" spans="1:4">
      <c r="A824" s="3">
        <v>0.8</v>
      </c>
      <c r="B824">
        <v>1</v>
      </c>
      <c r="C824">
        <v>202</v>
      </c>
      <c r="D824" t="str">
        <f>IF(GapData[[#This Row],[income]] &lt; 0.3, "Low Income", IF(GapData[[#This Row],[income]] &lt; 0.7, "Mid Income", "High Income"))</f>
        <v>High Income</v>
      </c>
    </row>
    <row r="825" spans="1:4">
      <c r="A825" s="3">
        <v>0.4</v>
      </c>
      <c r="B825">
        <v>1</v>
      </c>
      <c r="C825">
        <v>165</v>
      </c>
      <c r="D825" t="str">
        <f>IF(GapData[[#This Row],[income]] &lt; 0.3, "Low Income", IF(GapData[[#This Row],[income]] &lt; 0.7, "Mid Income", "High Income"))</f>
        <v>Mid Income</v>
      </c>
    </row>
    <row r="826" spans="1:4">
      <c r="A826" s="3">
        <v>0.9</v>
      </c>
      <c r="B826">
        <v>1</v>
      </c>
      <c r="C826">
        <v>265</v>
      </c>
      <c r="D826" t="str">
        <f>IF(GapData[[#This Row],[income]] &lt; 0.3, "Low Income", IF(GapData[[#This Row],[income]] &lt; 0.7, "Mid Income", "High Income"))</f>
        <v>High Income</v>
      </c>
    </row>
    <row r="827" spans="1:4">
      <c r="A827" s="3">
        <v>0.4</v>
      </c>
      <c r="B827">
        <v>1</v>
      </c>
      <c r="C827">
        <v>129</v>
      </c>
      <c r="D827" t="str">
        <f>IF(GapData[[#This Row],[income]] &lt; 0.3, "Low Income", IF(GapData[[#This Row],[income]] &lt; 0.7, "Mid Income", "High Income"))</f>
        <v>Mid Income</v>
      </c>
    </row>
    <row r="828" spans="1:4">
      <c r="A828" s="3">
        <v>0.4</v>
      </c>
      <c r="B828">
        <v>1</v>
      </c>
      <c r="C828">
        <v>132</v>
      </c>
      <c r="D828" t="str">
        <f>IF(GapData[[#This Row],[income]] &lt; 0.3, "Low Income", IF(GapData[[#This Row],[income]] &lt; 0.7, "Mid Income", "High Income"))</f>
        <v>Mid Income</v>
      </c>
    </row>
    <row r="829" spans="1:4">
      <c r="A829" s="3">
        <v>0.1</v>
      </c>
      <c r="B829">
        <v>1</v>
      </c>
      <c r="C829">
        <v>97</v>
      </c>
      <c r="D829" t="str">
        <f>IF(GapData[[#This Row],[income]] &lt; 0.3, "Low Income", IF(GapData[[#This Row],[income]] &lt; 0.7, "Mid Income", "High Income"))</f>
        <v>Low Income</v>
      </c>
    </row>
    <row r="830" spans="1:4">
      <c r="A830" s="3">
        <v>0.8</v>
      </c>
      <c r="B830">
        <v>1</v>
      </c>
      <c r="C830">
        <v>205</v>
      </c>
      <c r="D830" t="str">
        <f>IF(GapData[[#This Row],[income]] &lt; 0.3, "Low Income", IF(GapData[[#This Row],[income]] &lt; 0.7, "Mid Income", "High Income"))</f>
        <v>High Income</v>
      </c>
    </row>
    <row r="831" spans="1:4">
      <c r="A831" s="3">
        <v>0.6</v>
      </c>
      <c r="B831">
        <v>1</v>
      </c>
      <c r="C831">
        <v>120</v>
      </c>
      <c r="D831" t="str">
        <f>IF(GapData[[#This Row],[income]] &lt; 0.3, "Low Income", IF(GapData[[#This Row],[income]] &lt; 0.7, "Mid Income", "High Income"))</f>
        <v>Mid Income</v>
      </c>
    </row>
    <row r="832" spans="1:4">
      <c r="A832" s="3">
        <v>0.8</v>
      </c>
      <c r="B832">
        <v>1</v>
      </c>
      <c r="C832">
        <v>244</v>
      </c>
      <c r="D832" t="str">
        <f>IF(GapData[[#This Row],[income]] &lt; 0.3, "Low Income", IF(GapData[[#This Row],[income]] &lt; 0.7, "Mid Income", "High Income"))</f>
        <v>High Income</v>
      </c>
    </row>
    <row r="833" spans="1:4">
      <c r="A833" s="3">
        <v>0.9</v>
      </c>
      <c r="B833">
        <v>1</v>
      </c>
      <c r="C833">
        <v>81</v>
      </c>
      <c r="D833" t="str">
        <f>IF(GapData[[#This Row],[income]] &lt; 0.3, "Low Income", IF(GapData[[#This Row],[income]] &lt; 0.7, "Mid Income", "High Income"))</f>
        <v>High Income</v>
      </c>
    </row>
    <row r="834" spans="1:4">
      <c r="A834" s="3">
        <v>0.7</v>
      </c>
      <c r="B834">
        <v>1</v>
      </c>
      <c r="C834">
        <v>90</v>
      </c>
      <c r="D834" t="str">
        <f>IF(GapData[[#This Row],[income]] &lt; 0.3, "Low Income", IF(GapData[[#This Row],[income]] &lt; 0.7, "Mid Income", "High Income"))</f>
        <v>High Income</v>
      </c>
    </row>
    <row r="835" spans="1:4">
      <c r="A835" s="3">
        <v>0.4</v>
      </c>
      <c r="B835">
        <v>1</v>
      </c>
      <c r="C835">
        <v>289</v>
      </c>
      <c r="D835" t="str">
        <f>IF(GapData[[#This Row],[income]] &lt; 0.3, "Low Income", IF(GapData[[#This Row],[income]] &lt; 0.7, "Mid Income", "High Income"))</f>
        <v>Mid Income</v>
      </c>
    </row>
    <row r="836" spans="1:4">
      <c r="A836" s="3">
        <v>0.9</v>
      </c>
      <c r="B836">
        <v>1</v>
      </c>
      <c r="C836">
        <v>238</v>
      </c>
      <c r="D836" t="str">
        <f>IF(GapData[[#This Row],[income]] &lt; 0.3, "Low Income", IF(GapData[[#This Row],[income]] &lt; 0.7, "Mid Income", "High Income"))</f>
        <v>High Income</v>
      </c>
    </row>
    <row r="837" spans="1:4">
      <c r="A837" s="3">
        <v>0.9</v>
      </c>
      <c r="B837">
        <v>1</v>
      </c>
      <c r="C837">
        <v>233</v>
      </c>
      <c r="D837" t="str">
        <f>IF(GapData[[#This Row],[income]] &lt; 0.3, "Low Income", IF(GapData[[#This Row],[income]] &lt; 0.7, "Mid Income", "High Income"))</f>
        <v>High Income</v>
      </c>
    </row>
    <row r="838" spans="1:4">
      <c r="A838" s="3">
        <v>0.9</v>
      </c>
      <c r="B838">
        <v>1</v>
      </c>
      <c r="C838">
        <v>140</v>
      </c>
      <c r="D838" t="str">
        <f>IF(GapData[[#This Row],[income]] &lt; 0.3, "Low Income", IF(GapData[[#This Row],[income]] &lt; 0.7, "Mid Income", "High Income"))</f>
        <v>High Income</v>
      </c>
    </row>
    <row r="839" spans="1:4">
      <c r="A839" s="3">
        <v>0.9</v>
      </c>
      <c r="B839">
        <v>1</v>
      </c>
      <c r="C839">
        <v>216</v>
      </c>
      <c r="D839" t="str">
        <f>IF(GapData[[#This Row],[income]] &lt; 0.3, "Low Income", IF(GapData[[#This Row],[income]] &lt; 0.7, "Mid Income", "High Income"))</f>
        <v>High Income</v>
      </c>
    </row>
    <row r="840" spans="1:4">
      <c r="A840" s="3">
        <v>0.9</v>
      </c>
      <c r="B840">
        <v>1</v>
      </c>
      <c r="C840">
        <v>201</v>
      </c>
      <c r="D840" t="str">
        <f>IF(GapData[[#This Row],[income]] &lt; 0.3, "Low Income", IF(GapData[[#This Row],[income]] &lt; 0.7, "Mid Income", "High Income"))</f>
        <v>High Income</v>
      </c>
    </row>
    <row r="841" spans="1:4">
      <c r="A841" s="3">
        <v>0.9</v>
      </c>
      <c r="B841">
        <v>1</v>
      </c>
      <c r="C841">
        <v>110</v>
      </c>
      <c r="D841" t="str">
        <f>IF(GapData[[#This Row],[income]] &lt; 0.3, "Low Income", IF(GapData[[#This Row],[income]] &lt; 0.7, "Mid Income", "High Income"))</f>
        <v>High Income</v>
      </c>
    </row>
    <row r="842" spans="1:4">
      <c r="A842" s="3">
        <v>0.9</v>
      </c>
      <c r="B842">
        <v>1</v>
      </c>
      <c r="C842">
        <v>74</v>
      </c>
      <c r="D842" t="str">
        <f>IF(GapData[[#This Row],[income]] &lt; 0.3, "Low Income", IF(GapData[[#This Row],[income]] &lt; 0.7, "Mid Income", "High Income"))</f>
        <v>High Income</v>
      </c>
    </row>
    <row r="843" spans="1:4">
      <c r="A843" s="3">
        <v>0.3</v>
      </c>
      <c r="B843">
        <v>1</v>
      </c>
      <c r="C843">
        <v>199</v>
      </c>
      <c r="D843" t="str">
        <f>IF(GapData[[#This Row],[income]] &lt; 0.3, "Low Income", IF(GapData[[#This Row],[income]] &lt; 0.7, "Mid Income", "High Income"))</f>
        <v>Mid Income</v>
      </c>
    </row>
    <row r="844" spans="1:4">
      <c r="A844" s="3">
        <v>0.7</v>
      </c>
      <c r="B844">
        <v>1</v>
      </c>
      <c r="C844">
        <v>194</v>
      </c>
      <c r="D844" t="str">
        <f>IF(GapData[[#This Row],[income]] &lt; 0.3, "Low Income", IF(GapData[[#This Row],[income]] &lt; 0.7, "Mid Income", "High Income"))</f>
        <v>High Income</v>
      </c>
    </row>
    <row r="845" spans="1:4">
      <c r="A845" s="3">
        <v>0.9</v>
      </c>
      <c r="B845">
        <v>1</v>
      </c>
      <c r="C845">
        <v>185</v>
      </c>
      <c r="D845" t="str">
        <f>IF(GapData[[#This Row],[income]] &lt; 0.3, "Low Income", IF(GapData[[#This Row],[income]] &lt; 0.7, "Mid Income", "High Income"))</f>
        <v>High Income</v>
      </c>
    </row>
    <row r="846" spans="1:4">
      <c r="A846" s="3">
        <v>0.9</v>
      </c>
      <c r="B846">
        <v>1</v>
      </c>
      <c r="C846">
        <v>170</v>
      </c>
      <c r="D846" t="str">
        <f>IF(GapData[[#This Row],[income]] &lt; 0.3, "Low Income", IF(GapData[[#This Row],[income]] &lt; 0.7, "Mid Income", "High Income"))</f>
        <v>High Income</v>
      </c>
    </row>
    <row r="847" spans="1:4">
      <c r="A847" s="3">
        <v>0.4</v>
      </c>
      <c r="B847">
        <v>1</v>
      </c>
      <c r="C847">
        <v>193</v>
      </c>
      <c r="D847" t="str">
        <f>IF(GapData[[#This Row],[income]] &lt; 0.3, "Low Income", IF(GapData[[#This Row],[income]] &lt; 0.7, "Mid Income", "High Income"))</f>
        <v>Mid Income</v>
      </c>
    </row>
    <row r="848" spans="1:4">
      <c r="A848" s="3">
        <v>0.6</v>
      </c>
      <c r="B848">
        <v>1</v>
      </c>
      <c r="C848">
        <v>148</v>
      </c>
      <c r="D848" t="str">
        <f>IF(GapData[[#This Row],[income]] &lt; 0.3, "Low Income", IF(GapData[[#This Row],[income]] &lt; 0.7, "Mid Income", "High Income"))</f>
        <v>Mid Income</v>
      </c>
    </row>
    <row r="849" spans="1:4">
      <c r="A849" s="3">
        <v>0.4</v>
      </c>
      <c r="B849">
        <v>1</v>
      </c>
      <c r="C849">
        <v>211</v>
      </c>
      <c r="D849" t="str">
        <f>IF(GapData[[#This Row],[income]] &lt; 0.3, "Low Income", IF(GapData[[#This Row],[income]] &lt; 0.7, "Mid Income", "High Income"))</f>
        <v>Mid Income</v>
      </c>
    </row>
    <row r="850" spans="1:4">
      <c r="A850" s="3">
        <v>0.9</v>
      </c>
      <c r="B850">
        <v>1</v>
      </c>
      <c r="C850">
        <v>159</v>
      </c>
      <c r="D850" t="str">
        <f>IF(GapData[[#This Row],[income]] &lt; 0.3, "Low Income", IF(GapData[[#This Row],[income]] &lt; 0.7, "Mid Income", "High Income"))</f>
        <v>High Income</v>
      </c>
    </row>
    <row r="851" spans="1:4">
      <c r="A851" s="3">
        <v>0.1</v>
      </c>
      <c r="B851">
        <v>1</v>
      </c>
      <c r="C851">
        <v>29</v>
      </c>
      <c r="D851" t="str">
        <f>IF(GapData[[#This Row],[income]] &lt; 0.3, "Low Income", IF(GapData[[#This Row],[income]] &lt; 0.7, "Mid Income", "High Income"))</f>
        <v>Low Income</v>
      </c>
    </row>
    <row r="852" spans="1:4">
      <c r="A852" s="3">
        <v>0.9</v>
      </c>
      <c r="B852">
        <v>1</v>
      </c>
      <c r="C852">
        <v>178</v>
      </c>
      <c r="D852" t="str">
        <f>IF(GapData[[#This Row],[income]] &lt; 0.3, "Low Income", IF(GapData[[#This Row],[income]] &lt; 0.7, "Mid Income", "High Income"))</f>
        <v>High Income</v>
      </c>
    </row>
    <row r="853" spans="1:4">
      <c r="A853" s="3">
        <v>0.2</v>
      </c>
      <c r="B853">
        <v>1</v>
      </c>
      <c r="C853">
        <v>52</v>
      </c>
      <c r="D853" t="str">
        <f>IF(GapData[[#This Row],[income]] &lt; 0.3, "Low Income", IF(GapData[[#This Row],[income]] &lt; 0.7, "Mid Income", "High Income"))</f>
        <v>Low Income</v>
      </c>
    </row>
    <row r="854" spans="1:4">
      <c r="A854" s="3">
        <v>0.3</v>
      </c>
      <c r="B854">
        <v>1</v>
      </c>
      <c r="C854">
        <v>55</v>
      </c>
      <c r="D854" t="str">
        <f>IF(GapData[[#This Row],[income]] &lt; 0.3, "Low Income", IF(GapData[[#This Row],[income]] &lt; 0.7, "Mid Income", "High Income"))</f>
        <v>Mid Income</v>
      </c>
    </row>
    <row r="855" spans="1:4">
      <c r="A855" s="3">
        <v>0.7</v>
      </c>
      <c r="B855">
        <v>1</v>
      </c>
      <c r="C855">
        <v>209</v>
      </c>
      <c r="D855" t="str">
        <f>IF(GapData[[#This Row],[income]] &lt; 0.3, "Low Income", IF(GapData[[#This Row],[income]] &lt; 0.7, "Mid Income", "High Income"))</f>
        <v>High Income</v>
      </c>
    </row>
    <row r="856" spans="1:4">
      <c r="A856" s="3">
        <v>0.9</v>
      </c>
      <c r="B856">
        <v>1</v>
      </c>
      <c r="C856">
        <v>230</v>
      </c>
      <c r="D856" t="str">
        <f>IF(GapData[[#This Row],[income]] &lt; 0.3, "Low Income", IF(GapData[[#This Row],[income]] &lt; 0.7, "Mid Income", "High Income"))</f>
        <v>High Income</v>
      </c>
    </row>
    <row r="857" spans="1:4">
      <c r="A857" s="3">
        <v>0.9</v>
      </c>
      <c r="B857">
        <v>1</v>
      </c>
      <c r="C857">
        <v>50</v>
      </c>
      <c r="D857" t="str">
        <f>IF(GapData[[#This Row],[income]] &lt; 0.3, "Low Income", IF(GapData[[#This Row],[income]] &lt; 0.7, "Mid Income", "High Income"))</f>
        <v>High Income</v>
      </c>
    </row>
    <row r="858" spans="1:4">
      <c r="A858" s="3">
        <v>0.9</v>
      </c>
      <c r="B858">
        <v>1</v>
      </c>
      <c r="C858">
        <v>69</v>
      </c>
      <c r="D858" t="str">
        <f>IF(GapData[[#This Row],[income]] &lt; 0.3, "Low Income", IF(GapData[[#This Row],[income]] &lt; 0.7, "Mid Income", "High Income"))</f>
        <v>High Income</v>
      </c>
    </row>
    <row r="859" spans="1:4">
      <c r="A859" s="3">
        <v>0.9</v>
      </c>
      <c r="B859">
        <v>1</v>
      </c>
      <c r="C859">
        <v>289</v>
      </c>
      <c r="D859" t="str">
        <f>IF(GapData[[#This Row],[income]] &lt; 0.3, "Low Income", IF(GapData[[#This Row],[income]] &lt; 0.7, "Mid Income", "High Income"))</f>
        <v>High Income</v>
      </c>
    </row>
    <row r="860" spans="1:4">
      <c r="A860" s="3">
        <v>0.9</v>
      </c>
      <c r="B860">
        <v>1</v>
      </c>
      <c r="C860">
        <v>152</v>
      </c>
      <c r="D860" t="str">
        <f>IF(GapData[[#This Row],[income]] &lt; 0.3, "Low Income", IF(GapData[[#This Row],[income]] &lt; 0.7, "Mid Income", "High Income"))</f>
        <v>High Income</v>
      </c>
    </row>
    <row r="861" spans="1:4">
      <c r="A861" s="3">
        <v>0.1</v>
      </c>
      <c r="B861">
        <v>1</v>
      </c>
      <c r="C861">
        <v>91</v>
      </c>
      <c r="D861" t="str">
        <f>IF(GapData[[#This Row],[income]] &lt; 0.3, "Low Income", IF(GapData[[#This Row],[income]] &lt; 0.7, "Mid Income", "High Income"))</f>
        <v>Low Income</v>
      </c>
    </row>
    <row r="862" spans="1:4">
      <c r="A862" s="3">
        <v>0.8</v>
      </c>
      <c r="B862">
        <v>1</v>
      </c>
      <c r="C862">
        <v>187</v>
      </c>
      <c r="D862" t="str">
        <f>IF(GapData[[#This Row],[income]] &lt; 0.3, "Low Income", IF(GapData[[#This Row],[income]] &lt; 0.7, "Mid Income", "High Income"))</f>
        <v>High Income</v>
      </c>
    </row>
    <row r="863" spans="1:4">
      <c r="A863" s="3">
        <v>0.4</v>
      </c>
      <c r="B863">
        <v>1</v>
      </c>
      <c r="C863">
        <v>71</v>
      </c>
      <c r="D863" t="str">
        <f>IF(GapData[[#This Row],[income]] &lt; 0.3, "Low Income", IF(GapData[[#This Row],[income]] &lt; 0.7, "Mid Income", "High Income"))</f>
        <v>Mid Income</v>
      </c>
    </row>
    <row r="864" spans="1:4">
      <c r="A864" s="3">
        <v>0.6</v>
      </c>
      <c r="B864">
        <v>1</v>
      </c>
      <c r="C864">
        <v>41</v>
      </c>
      <c r="D864" t="str">
        <f>IF(GapData[[#This Row],[income]] &lt; 0.3, "Low Income", IF(GapData[[#This Row],[income]] &lt; 0.7, "Mid Income", "High Income"))</f>
        <v>Mid Income</v>
      </c>
    </row>
    <row r="865" spans="1:4">
      <c r="A865" s="3">
        <v>0.5</v>
      </c>
      <c r="B865">
        <v>1</v>
      </c>
      <c r="C865">
        <v>65</v>
      </c>
      <c r="D865" t="str">
        <f>IF(GapData[[#This Row],[income]] &lt; 0.3, "Low Income", IF(GapData[[#This Row],[income]] &lt; 0.7, "Mid Income", "High Income"))</f>
        <v>Mid Income</v>
      </c>
    </row>
    <row r="866" spans="1:4">
      <c r="A866" s="3">
        <v>0.9</v>
      </c>
      <c r="B866">
        <v>1</v>
      </c>
      <c r="C866">
        <v>291</v>
      </c>
      <c r="D866" t="str">
        <f>IF(GapData[[#This Row],[income]] &lt; 0.3, "Low Income", IF(GapData[[#This Row],[income]] &lt; 0.7, "Mid Income", "High Income"))</f>
        <v>High Income</v>
      </c>
    </row>
    <row r="867" spans="1:4">
      <c r="A867" s="3">
        <v>0.9</v>
      </c>
      <c r="B867">
        <v>1</v>
      </c>
      <c r="C867">
        <v>267</v>
      </c>
      <c r="D867" t="str">
        <f>IF(GapData[[#This Row],[income]] &lt; 0.3, "Low Income", IF(GapData[[#This Row],[income]] &lt; 0.7, "Mid Income", "High Income"))</f>
        <v>High Income</v>
      </c>
    </row>
    <row r="868" spans="1:4">
      <c r="A868" s="3">
        <v>0.3</v>
      </c>
      <c r="B868">
        <v>1</v>
      </c>
      <c r="C868">
        <v>31</v>
      </c>
      <c r="D868" t="str">
        <f>IF(GapData[[#This Row],[income]] &lt; 0.3, "Low Income", IF(GapData[[#This Row],[income]] &lt; 0.7, "Mid Income", "High Income"))</f>
        <v>Mid Income</v>
      </c>
    </row>
    <row r="869" spans="1:4">
      <c r="A869" s="3">
        <v>0.8</v>
      </c>
      <c r="B869">
        <v>1</v>
      </c>
      <c r="C869">
        <v>42</v>
      </c>
      <c r="D869" t="str">
        <f>IF(GapData[[#This Row],[income]] &lt; 0.3, "Low Income", IF(GapData[[#This Row],[income]] &lt; 0.7, "Mid Income", "High Income"))</f>
        <v>High Income</v>
      </c>
    </row>
    <row r="870" spans="1:4">
      <c r="A870" s="3">
        <v>0.7</v>
      </c>
      <c r="B870">
        <v>1</v>
      </c>
      <c r="C870">
        <v>261</v>
      </c>
      <c r="D870" t="str">
        <f>IF(GapData[[#This Row],[income]] &lt; 0.3, "Low Income", IF(GapData[[#This Row],[income]] &lt; 0.7, "Mid Income", "High Income"))</f>
        <v>High Income</v>
      </c>
    </row>
    <row r="871" spans="1:4">
      <c r="A871" s="3">
        <v>0.8</v>
      </c>
      <c r="B871">
        <v>1</v>
      </c>
      <c r="C871">
        <v>223</v>
      </c>
      <c r="D871" t="str">
        <f>IF(GapData[[#This Row],[income]] &lt; 0.3, "Low Income", IF(GapData[[#This Row],[income]] &lt; 0.7, "Mid Income", "High Income"))</f>
        <v>High Income</v>
      </c>
    </row>
    <row r="872" spans="1:4">
      <c r="A872" s="3">
        <v>0.6</v>
      </c>
      <c r="B872">
        <v>1</v>
      </c>
      <c r="C872">
        <v>251</v>
      </c>
      <c r="D872" t="str">
        <f>IF(GapData[[#This Row],[income]] &lt; 0.3, "Low Income", IF(GapData[[#This Row],[income]] &lt; 0.7, "Mid Income", "High Income"))</f>
        <v>Mid Income</v>
      </c>
    </row>
    <row r="873" spans="1:4">
      <c r="A873" s="3">
        <v>0.2</v>
      </c>
      <c r="B873">
        <v>1</v>
      </c>
      <c r="C873">
        <v>77</v>
      </c>
      <c r="D873" t="str">
        <f>IF(GapData[[#This Row],[income]] &lt; 0.3, "Low Income", IF(GapData[[#This Row],[income]] &lt; 0.7, "Mid Income", "High Income"))</f>
        <v>Low Income</v>
      </c>
    </row>
    <row r="874" spans="1:4">
      <c r="A874" s="3">
        <v>0.3</v>
      </c>
      <c r="B874">
        <v>1</v>
      </c>
      <c r="C874">
        <v>211</v>
      </c>
      <c r="D874" t="str">
        <f>IF(GapData[[#This Row],[income]] &lt; 0.3, "Low Income", IF(GapData[[#This Row],[income]] &lt; 0.7, "Mid Income", "High Income"))</f>
        <v>Mid Income</v>
      </c>
    </row>
    <row r="875" spans="1:4">
      <c r="A875" s="3">
        <v>0.6</v>
      </c>
      <c r="B875">
        <v>1</v>
      </c>
      <c r="C875">
        <v>245</v>
      </c>
      <c r="D875" t="str">
        <f>IF(GapData[[#This Row],[income]] &lt; 0.3, "Low Income", IF(GapData[[#This Row],[income]] &lt; 0.7, "Mid Income", "High Income"))</f>
        <v>Mid Income</v>
      </c>
    </row>
    <row r="876" spans="1:4">
      <c r="A876" s="3">
        <v>0.9</v>
      </c>
      <c r="B876">
        <v>1</v>
      </c>
      <c r="C876">
        <v>279</v>
      </c>
      <c r="D876" t="str">
        <f>IF(GapData[[#This Row],[income]] &lt; 0.3, "Low Income", IF(GapData[[#This Row],[income]] &lt; 0.7, "Mid Income", "High Income"))</f>
        <v>High Income</v>
      </c>
    </row>
    <row r="877" spans="1:4">
      <c r="A877" s="3">
        <v>0.7</v>
      </c>
      <c r="B877">
        <v>1</v>
      </c>
      <c r="C877">
        <v>252</v>
      </c>
      <c r="D877" t="str">
        <f>IF(GapData[[#This Row],[income]] &lt; 0.3, "Low Income", IF(GapData[[#This Row],[income]] &lt; 0.7, "Mid Income", "High Income"))</f>
        <v>High Income</v>
      </c>
    </row>
    <row r="878" spans="1:4">
      <c r="A878" s="3">
        <v>0.9</v>
      </c>
      <c r="B878">
        <v>1</v>
      </c>
      <c r="C878">
        <v>285</v>
      </c>
      <c r="D878" t="str">
        <f>IF(GapData[[#This Row],[income]] &lt; 0.3, "Low Income", IF(GapData[[#This Row],[income]] &lt; 0.7, "Mid Income", "High Income"))</f>
        <v>High Income</v>
      </c>
    </row>
    <row r="879" spans="1:4">
      <c r="A879" s="3">
        <v>0.9</v>
      </c>
      <c r="B879">
        <v>1</v>
      </c>
      <c r="C879">
        <v>117</v>
      </c>
      <c r="D879" t="str">
        <f>IF(GapData[[#This Row],[income]] &lt; 0.3, "Low Income", IF(GapData[[#This Row],[income]] &lt; 0.7, "Mid Income", "High Income"))</f>
        <v>High Income</v>
      </c>
    </row>
    <row r="880" spans="1:4">
      <c r="A880" s="3">
        <v>0.7</v>
      </c>
      <c r="B880">
        <v>1</v>
      </c>
      <c r="C880">
        <v>118</v>
      </c>
      <c r="D880" t="str">
        <f>IF(GapData[[#This Row],[income]] &lt; 0.3, "Low Income", IF(GapData[[#This Row],[income]] &lt; 0.7, "Mid Income", "High Income"))</f>
        <v>High Income</v>
      </c>
    </row>
    <row r="881" spans="1:4">
      <c r="A881" s="3">
        <v>0.8</v>
      </c>
      <c r="B881">
        <v>1</v>
      </c>
      <c r="C881">
        <v>159</v>
      </c>
      <c r="D881" t="str">
        <f>IF(GapData[[#This Row],[income]] &lt; 0.3, "Low Income", IF(GapData[[#This Row],[income]] &lt; 0.7, "Mid Income", "High Income"))</f>
        <v>High Income</v>
      </c>
    </row>
    <row r="882" spans="1:4">
      <c r="A882" s="3">
        <v>0.9</v>
      </c>
      <c r="B882">
        <v>1</v>
      </c>
      <c r="C882">
        <v>159</v>
      </c>
      <c r="D882" t="str">
        <f>IF(GapData[[#This Row],[income]] &lt; 0.3, "Low Income", IF(GapData[[#This Row],[income]] &lt; 0.7, "Mid Income", "High Income"))</f>
        <v>High Income</v>
      </c>
    </row>
    <row r="883" spans="1:4">
      <c r="A883" s="3">
        <v>0.5</v>
      </c>
      <c r="B883">
        <v>1</v>
      </c>
      <c r="C883">
        <v>218</v>
      </c>
      <c r="D883" t="str">
        <f>IF(GapData[[#This Row],[income]] &lt; 0.3, "Low Income", IF(GapData[[#This Row],[income]] &lt; 0.7, "Mid Income", "High Income"))</f>
        <v>Mid Income</v>
      </c>
    </row>
    <row r="884" spans="1:4">
      <c r="A884" s="3">
        <v>0.9</v>
      </c>
      <c r="B884">
        <v>1</v>
      </c>
      <c r="C884">
        <v>286</v>
      </c>
      <c r="D884" t="str">
        <f>IF(GapData[[#This Row],[income]] &lt; 0.3, "Low Income", IF(GapData[[#This Row],[income]] &lt; 0.7, "Mid Income", "High Income"))</f>
        <v>High Income</v>
      </c>
    </row>
    <row r="885" spans="1:4">
      <c r="A885" s="3">
        <v>0.9</v>
      </c>
      <c r="B885">
        <v>1</v>
      </c>
      <c r="C885">
        <v>140</v>
      </c>
      <c r="D885" t="str">
        <f>IF(GapData[[#This Row],[income]] &lt; 0.3, "Low Income", IF(GapData[[#This Row],[income]] &lt; 0.7, "Mid Income", "High Income"))</f>
        <v>High Income</v>
      </c>
    </row>
    <row r="886" spans="1:4">
      <c r="A886" s="3">
        <v>0.6</v>
      </c>
      <c r="B886">
        <v>1</v>
      </c>
      <c r="C886">
        <v>241</v>
      </c>
      <c r="D886" t="str">
        <f>IF(GapData[[#This Row],[income]] &lt; 0.3, "Low Income", IF(GapData[[#This Row],[income]] &lt; 0.7, "Mid Income", "High Income"))</f>
        <v>Mid Income</v>
      </c>
    </row>
    <row r="887" spans="1:4">
      <c r="A887" s="3">
        <v>0.4</v>
      </c>
      <c r="B887">
        <v>1</v>
      </c>
      <c r="C887">
        <v>163</v>
      </c>
      <c r="D887" t="str">
        <f>IF(GapData[[#This Row],[income]] &lt; 0.3, "Low Income", IF(GapData[[#This Row],[income]] &lt; 0.7, "Mid Income", "High Income"))</f>
        <v>Mid Income</v>
      </c>
    </row>
    <row r="888" spans="1:4">
      <c r="A888" s="3">
        <v>0.8</v>
      </c>
      <c r="B888">
        <v>1</v>
      </c>
      <c r="C888">
        <v>134</v>
      </c>
      <c r="D888" t="str">
        <f>IF(GapData[[#This Row],[income]] &lt; 0.3, "Low Income", IF(GapData[[#This Row],[income]] &lt; 0.7, "Mid Income", "High Income"))</f>
        <v>High Income</v>
      </c>
    </row>
    <row r="889" spans="1:4">
      <c r="A889" s="3">
        <v>0.9</v>
      </c>
      <c r="B889">
        <v>1</v>
      </c>
      <c r="C889">
        <v>139</v>
      </c>
      <c r="D889" t="str">
        <f>IF(GapData[[#This Row],[income]] &lt; 0.3, "Low Income", IF(GapData[[#This Row],[income]] &lt; 0.7, "Mid Income", "High Income"))</f>
        <v>High Income</v>
      </c>
    </row>
    <row r="890" spans="1:4">
      <c r="A890" s="3">
        <v>0.4</v>
      </c>
      <c r="B890">
        <v>1</v>
      </c>
      <c r="C890">
        <v>145</v>
      </c>
      <c r="D890" t="str">
        <f>IF(GapData[[#This Row],[income]] &lt; 0.3, "Low Income", IF(GapData[[#This Row],[income]] &lt; 0.7, "Mid Income", "High Income"))</f>
        <v>Mid Income</v>
      </c>
    </row>
    <row r="891" spans="1:4">
      <c r="A891" s="3">
        <v>0.1</v>
      </c>
      <c r="B891">
        <v>1</v>
      </c>
      <c r="C891">
        <v>91</v>
      </c>
      <c r="D891" t="str">
        <f>IF(GapData[[#This Row],[income]] &lt; 0.3, "Low Income", IF(GapData[[#This Row],[income]] &lt; 0.7, "Mid Income", "High Income"))</f>
        <v>Low Income</v>
      </c>
    </row>
    <row r="892" spans="1:4">
      <c r="A892" s="3">
        <v>0.6</v>
      </c>
      <c r="B892">
        <v>1</v>
      </c>
      <c r="C892">
        <v>126</v>
      </c>
      <c r="D892" t="str">
        <f>IF(GapData[[#This Row],[income]] &lt; 0.3, "Low Income", IF(GapData[[#This Row],[income]] &lt; 0.7, "Mid Income", "High Income"))</f>
        <v>Mid Income</v>
      </c>
    </row>
    <row r="893" spans="1:4">
      <c r="A893" s="3">
        <v>0.4</v>
      </c>
      <c r="B893">
        <v>1</v>
      </c>
      <c r="C893">
        <v>58</v>
      </c>
      <c r="D893" t="str">
        <f>IF(GapData[[#This Row],[income]] &lt; 0.3, "Low Income", IF(GapData[[#This Row],[income]] &lt; 0.7, "Mid Income", "High Income"))</f>
        <v>Mid Income</v>
      </c>
    </row>
    <row r="894" spans="1:4">
      <c r="A894" s="3">
        <v>0.5</v>
      </c>
      <c r="B894">
        <v>1</v>
      </c>
      <c r="C894">
        <v>109</v>
      </c>
      <c r="D894" t="str">
        <f>IF(GapData[[#This Row],[income]] &lt; 0.3, "Low Income", IF(GapData[[#This Row],[income]] &lt; 0.7, "Mid Income", "High Income"))</f>
        <v>Mid Income</v>
      </c>
    </row>
    <row r="895" spans="1:4">
      <c r="A895" s="3">
        <v>0.8</v>
      </c>
      <c r="B895">
        <v>1</v>
      </c>
      <c r="C895">
        <v>143</v>
      </c>
      <c r="D895" t="str">
        <f>IF(GapData[[#This Row],[income]] &lt; 0.3, "Low Income", IF(GapData[[#This Row],[income]] &lt; 0.7, "Mid Income", "High Income"))</f>
        <v>High Income</v>
      </c>
    </row>
    <row r="896" spans="1:4">
      <c r="A896" s="3">
        <v>0.4</v>
      </c>
      <c r="B896">
        <v>1</v>
      </c>
      <c r="C896">
        <v>283</v>
      </c>
      <c r="D896" t="str">
        <f>IF(GapData[[#This Row],[income]] &lt; 0.3, "Low Income", IF(GapData[[#This Row],[income]] &lt; 0.7, "Mid Income", "High Income"))</f>
        <v>Mid Income</v>
      </c>
    </row>
    <row r="897" spans="1:4">
      <c r="A897" s="3">
        <v>0.4</v>
      </c>
      <c r="B897">
        <v>1</v>
      </c>
      <c r="C897">
        <v>264</v>
      </c>
      <c r="D897" t="str">
        <f>IF(GapData[[#This Row],[income]] &lt; 0.3, "Low Income", IF(GapData[[#This Row],[income]] &lt; 0.7, "Mid Income", "High Income"))</f>
        <v>Mid Income</v>
      </c>
    </row>
    <row r="898" spans="1:4">
      <c r="A898" s="3">
        <v>0.9</v>
      </c>
      <c r="B898">
        <v>1</v>
      </c>
      <c r="C898">
        <v>191</v>
      </c>
      <c r="D898" t="str">
        <f>IF(GapData[[#This Row],[income]] &lt; 0.3, "Low Income", IF(GapData[[#This Row],[income]] &lt; 0.7, "Mid Income", "High Income"))</f>
        <v>High Income</v>
      </c>
    </row>
    <row r="899" spans="1:4">
      <c r="A899" s="3">
        <v>0.8</v>
      </c>
      <c r="B899">
        <v>1</v>
      </c>
      <c r="C899">
        <v>147</v>
      </c>
      <c r="D899" t="str">
        <f>IF(GapData[[#This Row],[income]] &lt; 0.3, "Low Income", IF(GapData[[#This Row],[income]] &lt; 0.7, "Mid Income", "High Income"))</f>
        <v>High Income</v>
      </c>
    </row>
    <row r="900" spans="1:4">
      <c r="A900" s="3">
        <v>0.2</v>
      </c>
      <c r="B900">
        <v>1</v>
      </c>
      <c r="C900">
        <v>96</v>
      </c>
      <c r="D900" t="str">
        <f>IF(GapData[[#This Row],[income]] &lt; 0.3, "Low Income", IF(GapData[[#This Row],[income]] &lt; 0.7, "Mid Income", "High Income"))</f>
        <v>Low Income</v>
      </c>
    </row>
    <row r="901" spans="1:4">
      <c r="A901" s="3">
        <v>0.9</v>
      </c>
      <c r="B901">
        <v>1</v>
      </c>
      <c r="C901">
        <v>271</v>
      </c>
      <c r="D901" t="str">
        <f>IF(GapData[[#This Row],[income]] &lt; 0.3, "Low Income", IF(GapData[[#This Row],[income]] &lt; 0.7, "Mid Income", "High Income"))</f>
        <v>High Income</v>
      </c>
    </row>
    <row r="902" spans="1:4">
      <c r="A902" s="3">
        <v>0.7</v>
      </c>
      <c r="B902">
        <v>1</v>
      </c>
      <c r="C902">
        <v>168</v>
      </c>
      <c r="D902" t="str">
        <f>IF(GapData[[#This Row],[income]] &lt; 0.3, "Low Income", IF(GapData[[#This Row],[income]] &lt; 0.7, "Mid Income", "High Income"))</f>
        <v>High Income</v>
      </c>
    </row>
    <row r="903" spans="1:4">
      <c r="A903" s="3">
        <v>0.6</v>
      </c>
      <c r="B903">
        <v>1</v>
      </c>
      <c r="C903">
        <v>173</v>
      </c>
      <c r="D903" t="str">
        <f>IF(GapData[[#This Row],[income]] &lt; 0.3, "Low Income", IF(GapData[[#This Row],[income]] &lt; 0.7, "Mid Income", "High Income"))</f>
        <v>Mid Income</v>
      </c>
    </row>
    <row r="904" spans="1:4">
      <c r="A904" s="3">
        <v>0.9</v>
      </c>
      <c r="B904">
        <v>1</v>
      </c>
      <c r="C904">
        <v>278</v>
      </c>
      <c r="D904" t="str">
        <f>IF(GapData[[#This Row],[income]] &lt; 0.3, "Low Income", IF(GapData[[#This Row],[income]] &lt; 0.7, "Mid Income", "High Income"))</f>
        <v>High Income</v>
      </c>
    </row>
    <row r="905" spans="1:4">
      <c r="A905" s="3">
        <v>0.8</v>
      </c>
      <c r="B905">
        <v>1</v>
      </c>
      <c r="C905">
        <v>228</v>
      </c>
      <c r="D905" t="str">
        <f>IF(GapData[[#This Row],[income]] &lt; 0.3, "Low Income", IF(GapData[[#This Row],[income]] &lt; 0.7, "Mid Income", "High Income"))</f>
        <v>High Income</v>
      </c>
    </row>
    <row r="906" spans="1:4">
      <c r="A906" s="3">
        <v>0.8</v>
      </c>
      <c r="B906">
        <v>1</v>
      </c>
      <c r="C906">
        <v>213</v>
      </c>
      <c r="D906" t="str">
        <f>IF(GapData[[#This Row],[income]] &lt; 0.3, "Low Income", IF(GapData[[#This Row],[income]] &lt; 0.7, "Mid Income", "High Income"))</f>
        <v>High Income</v>
      </c>
    </row>
    <row r="907" spans="1:4">
      <c r="A907" s="3">
        <v>0.1</v>
      </c>
      <c r="B907">
        <v>1</v>
      </c>
      <c r="C907">
        <v>216</v>
      </c>
      <c r="D907" t="str">
        <f>IF(GapData[[#This Row],[income]] &lt; 0.3, "Low Income", IF(GapData[[#This Row],[income]] &lt; 0.7, "Mid Income", "High Income"))</f>
        <v>Low Income</v>
      </c>
    </row>
    <row r="908" spans="1:4">
      <c r="A908" s="3">
        <v>0.4</v>
      </c>
      <c r="B908">
        <v>1</v>
      </c>
      <c r="C908">
        <v>238</v>
      </c>
      <c r="D908" t="str">
        <f>IF(GapData[[#This Row],[income]] &lt; 0.3, "Low Income", IF(GapData[[#This Row],[income]] &lt; 0.7, "Mid Income", "High Income"))</f>
        <v>Mid Income</v>
      </c>
    </row>
    <row r="909" spans="1:4">
      <c r="A909" s="3">
        <v>0.9</v>
      </c>
      <c r="B909">
        <v>1</v>
      </c>
      <c r="C909">
        <v>116</v>
      </c>
      <c r="D909" t="str">
        <f>IF(GapData[[#This Row],[income]] &lt; 0.3, "Low Income", IF(GapData[[#This Row],[income]] &lt; 0.7, "Mid Income", "High Income"))</f>
        <v>High Income</v>
      </c>
    </row>
    <row r="910" spans="1:4">
      <c r="A910" s="3">
        <v>0.9</v>
      </c>
      <c r="B910">
        <v>1</v>
      </c>
      <c r="C910">
        <v>82</v>
      </c>
      <c r="D910" t="str">
        <f>IF(GapData[[#This Row],[income]] &lt; 0.3, "Low Income", IF(GapData[[#This Row],[income]] &lt; 0.7, "Mid Income", "High Income"))</f>
        <v>High Income</v>
      </c>
    </row>
    <row r="911" spans="1:4">
      <c r="A911" s="3">
        <v>0.4</v>
      </c>
      <c r="B911">
        <v>1</v>
      </c>
      <c r="C911">
        <v>178</v>
      </c>
      <c r="D911" t="str">
        <f>IF(GapData[[#This Row],[income]] &lt; 0.3, "Low Income", IF(GapData[[#This Row],[income]] &lt; 0.7, "Mid Income", "High Income"))</f>
        <v>Mid Income</v>
      </c>
    </row>
    <row r="912" spans="1:4">
      <c r="A912" s="3">
        <v>0.6</v>
      </c>
      <c r="B912">
        <v>1</v>
      </c>
      <c r="C912">
        <v>201</v>
      </c>
      <c r="D912" t="str">
        <f>IF(GapData[[#This Row],[income]] &lt; 0.3, "Low Income", IF(GapData[[#This Row],[income]] &lt; 0.7, "Mid Income", "High Income"))</f>
        <v>Mid Income</v>
      </c>
    </row>
    <row r="913" spans="1:4">
      <c r="A913" s="3">
        <v>0.1</v>
      </c>
      <c r="B913">
        <v>1</v>
      </c>
      <c r="C913">
        <v>109</v>
      </c>
      <c r="D913" t="str">
        <f>IF(GapData[[#This Row],[income]] &lt; 0.3, "Low Income", IF(GapData[[#This Row],[income]] &lt; 0.7, "Mid Income", "High Income"))</f>
        <v>Low Income</v>
      </c>
    </row>
    <row r="914" spans="1:4">
      <c r="A914" s="3">
        <v>0.1</v>
      </c>
      <c r="B914">
        <v>1</v>
      </c>
      <c r="C914">
        <v>281</v>
      </c>
      <c r="D914" t="str">
        <f>IF(GapData[[#This Row],[income]] &lt; 0.3, "Low Income", IF(GapData[[#This Row],[income]] &lt; 0.7, "Mid Income", "High Income"))</f>
        <v>Low Income</v>
      </c>
    </row>
    <row r="915" spans="1:4">
      <c r="A915" s="3">
        <v>0.6</v>
      </c>
      <c r="B915">
        <v>1</v>
      </c>
      <c r="C915">
        <v>215</v>
      </c>
      <c r="D915" t="str">
        <f>IF(GapData[[#This Row],[income]] &lt; 0.3, "Low Income", IF(GapData[[#This Row],[income]] &lt; 0.7, "Mid Income", "High Income"))</f>
        <v>Mid Income</v>
      </c>
    </row>
    <row r="916" spans="1:4">
      <c r="A916" s="3">
        <v>0.8</v>
      </c>
      <c r="B916">
        <v>1</v>
      </c>
      <c r="C916">
        <v>192</v>
      </c>
      <c r="D916" t="str">
        <f>IF(GapData[[#This Row],[income]] &lt; 0.3, "Low Income", IF(GapData[[#This Row],[income]] &lt; 0.7, "Mid Income", "High Income"))</f>
        <v>High Income</v>
      </c>
    </row>
    <row r="917" spans="1:4">
      <c r="A917" s="3">
        <v>0.8</v>
      </c>
      <c r="B917">
        <v>1</v>
      </c>
      <c r="C917">
        <v>254</v>
      </c>
      <c r="D917" t="str">
        <f>IF(GapData[[#This Row],[income]] &lt; 0.3, "Low Income", IF(GapData[[#This Row],[income]] &lt; 0.7, "Mid Income", "High Income"))</f>
        <v>High Income</v>
      </c>
    </row>
    <row r="918" spans="1:4">
      <c r="A918" s="3">
        <v>0.3</v>
      </c>
      <c r="B918">
        <v>1</v>
      </c>
      <c r="C918">
        <v>246</v>
      </c>
      <c r="D918" t="str">
        <f>IF(GapData[[#This Row],[income]] &lt; 0.3, "Low Income", IF(GapData[[#This Row],[income]] &lt; 0.7, "Mid Income", "High Income"))</f>
        <v>Mid Income</v>
      </c>
    </row>
    <row r="919" spans="1:4">
      <c r="A919" s="3">
        <v>0.9</v>
      </c>
      <c r="B919">
        <v>1</v>
      </c>
      <c r="C919">
        <v>124</v>
      </c>
      <c r="D919" t="str">
        <f>IF(GapData[[#This Row],[income]] &lt; 0.3, "Low Income", IF(GapData[[#This Row],[income]] &lt; 0.7, "Mid Income", "High Income"))</f>
        <v>High Income</v>
      </c>
    </row>
    <row r="920" spans="1:4">
      <c r="A920" s="3">
        <v>0.1</v>
      </c>
      <c r="B920">
        <v>1</v>
      </c>
      <c r="C920">
        <v>158</v>
      </c>
      <c r="D920" t="str">
        <f>IF(GapData[[#This Row],[income]] &lt; 0.3, "Low Income", IF(GapData[[#This Row],[income]] &lt; 0.7, "Mid Income", "High Income"))</f>
        <v>Low Income</v>
      </c>
    </row>
    <row r="921" spans="1:4">
      <c r="A921" s="3">
        <v>0.8</v>
      </c>
      <c r="B921">
        <v>1</v>
      </c>
      <c r="C921">
        <v>207</v>
      </c>
      <c r="D921" t="str">
        <f>IF(GapData[[#This Row],[income]] &lt; 0.3, "Low Income", IF(GapData[[#This Row],[income]] &lt; 0.7, "Mid Income", "High Income"))</f>
        <v>High Income</v>
      </c>
    </row>
    <row r="922" spans="1:4">
      <c r="A922" s="3">
        <v>0.9</v>
      </c>
      <c r="B922">
        <v>1</v>
      </c>
      <c r="C922">
        <v>216</v>
      </c>
      <c r="D922" t="str">
        <f>IF(GapData[[#This Row],[income]] &lt; 0.3, "Low Income", IF(GapData[[#This Row],[income]] &lt; 0.7, "Mid Income", "High Income"))</f>
        <v>High Income</v>
      </c>
    </row>
    <row r="923" spans="1:4">
      <c r="A923" s="3">
        <v>0.5</v>
      </c>
      <c r="B923">
        <v>1</v>
      </c>
      <c r="C923">
        <v>107</v>
      </c>
      <c r="D923" t="str">
        <f>IF(GapData[[#This Row],[income]] &lt; 0.3, "Low Income", IF(GapData[[#This Row],[income]] &lt; 0.7, "Mid Income", "High Income"))</f>
        <v>Mid Income</v>
      </c>
    </row>
    <row r="924" spans="1:4">
      <c r="A924" s="3">
        <v>0.8</v>
      </c>
      <c r="B924">
        <v>1</v>
      </c>
      <c r="C924">
        <v>247</v>
      </c>
      <c r="D924" t="str">
        <f>IF(GapData[[#This Row],[income]] &lt; 0.3, "Low Income", IF(GapData[[#This Row],[income]] &lt; 0.7, "Mid Income", "High Income"))</f>
        <v>High Income</v>
      </c>
    </row>
    <row r="925" spans="1:4">
      <c r="A925" s="3">
        <v>0.2</v>
      </c>
      <c r="B925">
        <v>1</v>
      </c>
      <c r="C925">
        <v>88</v>
      </c>
      <c r="D925" t="str">
        <f>IF(GapData[[#This Row],[income]] &lt; 0.3, "Low Income", IF(GapData[[#This Row],[income]] &lt; 0.7, "Mid Income", "High Income"))</f>
        <v>Low Income</v>
      </c>
    </row>
    <row r="926" spans="1:4">
      <c r="A926" s="3">
        <v>0.9</v>
      </c>
      <c r="B926">
        <v>1</v>
      </c>
      <c r="C926">
        <v>274</v>
      </c>
      <c r="D926" t="str">
        <f>IF(GapData[[#This Row],[income]] &lt; 0.3, "Low Income", IF(GapData[[#This Row],[income]] &lt; 0.7, "Mid Income", "High Income"))</f>
        <v>High Income</v>
      </c>
    </row>
    <row r="927" spans="1:4">
      <c r="A927" s="3">
        <v>0.8</v>
      </c>
      <c r="B927">
        <v>1</v>
      </c>
      <c r="C927">
        <v>275</v>
      </c>
      <c r="D927" t="str">
        <f>IF(GapData[[#This Row],[income]] &lt; 0.3, "Low Income", IF(GapData[[#This Row],[income]] &lt; 0.7, "Mid Income", "High Income"))</f>
        <v>High Income</v>
      </c>
    </row>
    <row r="928" spans="1:4">
      <c r="A928" s="3">
        <v>0.9</v>
      </c>
      <c r="B928">
        <v>1</v>
      </c>
      <c r="C928">
        <v>198</v>
      </c>
      <c r="D928" t="str">
        <f>IF(GapData[[#This Row],[income]] &lt; 0.3, "Low Income", IF(GapData[[#This Row],[income]] &lt; 0.7, "Mid Income", "High Income"))</f>
        <v>High Income</v>
      </c>
    </row>
    <row r="929" spans="1:4">
      <c r="A929" s="3">
        <v>0.9</v>
      </c>
      <c r="B929">
        <v>1</v>
      </c>
      <c r="C929">
        <v>233</v>
      </c>
      <c r="D929" t="str">
        <f>IF(GapData[[#This Row],[income]] &lt; 0.3, "Low Income", IF(GapData[[#This Row],[income]] &lt; 0.7, "Mid Income", "High Income"))</f>
        <v>High Income</v>
      </c>
    </row>
    <row r="930" spans="1:4">
      <c r="A930" s="3">
        <v>0.9</v>
      </c>
      <c r="B930">
        <v>1</v>
      </c>
      <c r="C930">
        <v>132</v>
      </c>
      <c r="D930" t="str">
        <f>IF(GapData[[#This Row],[income]] &lt; 0.3, "Low Income", IF(GapData[[#This Row],[income]] &lt; 0.7, "Mid Income", "High Income"))</f>
        <v>High Income</v>
      </c>
    </row>
    <row r="931" spans="1:4">
      <c r="A931" s="3">
        <v>0.5</v>
      </c>
      <c r="B931">
        <v>1</v>
      </c>
      <c r="C931">
        <v>204</v>
      </c>
      <c r="D931" t="str">
        <f>IF(GapData[[#This Row],[income]] &lt; 0.3, "Low Income", IF(GapData[[#This Row],[income]] &lt; 0.7, "Mid Income", "High Income"))</f>
        <v>Mid Income</v>
      </c>
    </row>
    <row r="932" spans="1:4">
      <c r="A932" s="3">
        <v>0.1</v>
      </c>
      <c r="B932">
        <v>1</v>
      </c>
      <c r="C932">
        <v>158</v>
      </c>
      <c r="D932" t="str">
        <f>IF(GapData[[#This Row],[income]] &lt; 0.3, "Low Income", IF(GapData[[#This Row],[income]] &lt; 0.7, "Mid Income", "High Income"))</f>
        <v>Low Income</v>
      </c>
    </row>
    <row r="933" spans="1:4">
      <c r="A933" s="3">
        <v>0.8</v>
      </c>
      <c r="B933">
        <v>1</v>
      </c>
      <c r="C933">
        <v>210</v>
      </c>
      <c r="D933" t="str">
        <f>IF(GapData[[#This Row],[income]] &lt; 0.3, "Low Income", IF(GapData[[#This Row],[income]] &lt; 0.7, "Mid Income", "High Income"))</f>
        <v>High Income</v>
      </c>
    </row>
    <row r="934" spans="1:4">
      <c r="A934" s="3">
        <v>0.9</v>
      </c>
      <c r="B934">
        <v>1</v>
      </c>
      <c r="C934">
        <v>117</v>
      </c>
      <c r="D934" t="str">
        <f>IF(GapData[[#This Row],[income]] &lt; 0.3, "Low Income", IF(GapData[[#This Row],[income]] &lt; 0.7, "Mid Income", "High Income"))</f>
        <v>High Income</v>
      </c>
    </row>
    <row r="935" spans="1:4">
      <c r="A935" s="3">
        <v>0.7</v>
      </c>
      <c r="B935">
        <v>1</v>
      </c>
      <c r="C935">
        <v>139</v>
      </c>
      <c r="D935" t="str">
        <f>IF(GapData[[#This Row],[income]] &lt; 0.3, "Low Income", IF(GapData[[#This Row],[income]] &lt; 0.7, "Mid Income", "High Income"))</f>
        <v>High Income</v>
      </c>
    </row>
    <row r="936" spans="1:4">
      <c r="A936" s="3">
        <v>0.9</v>
      </c>
      <c r="B936">
        <v>1</v>
      </c>
      <c r="C936">
        <v>152</v>
      </c>
      <c r="D936" t="str">
        <f>IF(GapData[[#This Row],[income]] &lt; 0.3, "Low Income", IF(GapData[[#This Row],[income]] &lt; 0.7, "Mid Income", "High Income"))</f>
        <v>High Income</v>
      </c>
    </row>
    <row r="937" spans="1:4">
      <c r="A937" s="3">
        <v>0.1</v>
      </c>
      <c r="B937">
        <v>1</v>
      </c>
      <c r="C937">
        <v>181</v>
      </c>
      <c r="D937" t="str">
        <f>IF(GapData[[#This Row],[income]] &lt; 0.3, "Low Income", IF(GapData[[#This Row],[income]] &lt; 0.7, "Mid Income", "High Income"))</f>
        <v>Low Income</v>
      </c>
    </row>
    <row r="938" spans="1:4">
      <c r="A938" s="3">
        <v>0.8</v>
      </c>
      <c r="B938">
        <v>1</v>
      </c>
      <c r="C938">
        <v>170</v>
      </c>
      <c r="D938" t="str">
        <f>IF(GapData[[#This Row],[income]] &lt; 0.3, "Low Income", IF(GapData[[#This Row],[income]] &lt; 0.7, "Mid Income", "High Income"))</f>
        <v>High Income</v>
      </c>
    </row>
    <row r="939" spans="1:4">
      <c r="A939" s="3">
        <v>0.9</v>
      </c>
      <c r="B939">
        <v>1</v>
      </c>
      <c r="C939">
        <v>227</v>
      </c>
      <c r="D939" t="str">
        <f>IF(GapData[[#This Row],[income]] &lt; 0.3, "Low Income", IF(GapData[[#This Row],[income]] &lt; 0.7, "Mid Income", "High Income"))</f>
        <v>High Income</v>
      </c>
    </row>
    <row r="940" spans="1:4">
      <c r="A940" s="3">
        <v>0.4</v>
      </c>
      <c r="B940">
        <v>1</v>
      </c>
      <c r="C940">
        <v>174</v>
      </c>
      <c r="D940" t="str">
        <f>IF(GapData[[#This Row],[income]] &lt; 0.3, "Low Income", IF(GapData[[#This Row],[income]] &lt; 0.7, "Mid Income", "High Income"))</f>
        <v>Mid Income</v>
      </c>
    </row>
    <row r="941" spans="1:4">
      <c r="A941" s="3">
        <v>0.9</v>
      </c>
      <c r="B941">
        <v>1</v>
      </c>
      <c r="C941">
        <v>223</v>
      </c>
      <c r="D941" t="str">
        <f>IF(GapData[[#This Row],[income]] &lt; 0.3, "Low Income", IF(GapData[[#This Row],[income]] &lt; 0.7, "Mid Income", "High Income"))</f>
        <v>High Income</v>
      </c>
    </row>
    <row r="942" spans="1:4">
      <c r="A942" s="3">
        <v>0.9</v>
      </c>
      <c r="B942">
        <v>1</v>
      </c>
      <c r="C942">
        <v>161</v>
      </c>
      <c r="D942" t="str">
        <f>IF(GapData[[#This Row],[income]] &lt; 0.3, "Low Income", IF(GapData[[#This Row],[income]] &lt; 0.7, "Mid Income", "High Income"))</f>
        <v>High Income</v>
      </c>
    </row>
    <row r="943" spans="1:4">
      <c r="A943" s="3">
        <v>0.8</v>
      </c>
      <c r="B943">
        <v>1</v>
      </c>
      <c r="C943">
        <v>98</v>
      </c>
      <c r="D943" t="str">
        <f>IF(GapData[[#This Row],[income]] &lt; 0.3, "Low Income", IF(GapData[[#This Row],[income]] &lt; 0.7, "Mid Income", "High Income"))</f>
        <v>High Income</v>
      </c>
    </row>
    <row r="944" spans="1:4">
      <c r="A944" s="3">
        <v>0.7</v>
      </c>
      <c r="B944">
        <v>1</v>
      </c>
      <c r="C944">
        <v>82</v>
      </c>
      <c r="D944" t="str">
        <f>IF(GapData[[#This Row],[income]] &lt; 0.3, "Low Income", IF(GapData[[#This Row],[income]] &lt; 0.7, "Mid Income", "High Income"))</f>
        <v>High Income</v>
      </c>
    </row>
    <row r="945" spans="1:4">
      <c r="A945" s="3">
        <v>0.9</v>
      </c>
      <c r="B945">
        <v>1</v>
      </c>
      <c r="C945">
        <v>187</v>
      </c>
      <c r="D945" t="str">
        <f>IF(GapData[[#This Row],[income]] &lt; 0.3, "Low Income", IF(GapData[[#This Row],[income]] &lt; 0.7, "Mid Income", "High Income"))</f>
        <v>High Income</v>
      </c>
    </row>
    <row r="946" spans="1:4">
      <c r="A946" s="3">
        <v>0.9</v>
      </c>
      <c r="B946">
        <v>1</v>
      </c>
      <c r="C946">
        <v>283</v>
      </c>
      <c r="D946" t="str">
        <f>IF(GapData[[#This Row],[income]] &lt; 0.3, "Low Income", IF(GapData[[#This Row],[income]] &lt; 0.7, "Mid Income", "High Income"))</f>
        <v>High Income</v>
      </c>
    </row>
    <row r="947" spans="1:4">
      <c r="A947" s="3">
        <v>0.1</v>
      </c>
      <c r="B947">
        <v>1</v>
      </c>
      <c r="C947">
        <v>172</v>
      </c>
      <c r="D947" t="str">
        <f>IF(GapData[[#This Row],[income]] &lt; 0.3, "Low Income", IF(GapData[[#This Row],[income]] &lt; 0.7, "Mid Income", "High Income"))</f>
        <v>Low Income</v>
      </c>
    </row>
    <row r="948" spans="1:4">
      <c r="A948" s="3">
        <v>0.4</v>
      </c>
      <c r="B948">
        <v>1</v>
      </c>
      <c r="C948">
        <v>281</v>
      </c>
      <c r="D948" t="str">
        <f>IF(GapData[[#This Row],[income]] &lt; 0.3, "Low Income", IF(GapData[[#This Row],[income]] &lt; 0.7, "Mid Income", "High Income"))</f>
        <v>Mid Income</v>
      </c>
    </row>
    <row r="949" spans="1:4">
      <c r="A949" s="3">
        <v>0.9</v>
      </c>
      <c r="B949">
        <v>1</v>
      </c>
      <c r="C949">
        <v>201</v>
      </c>
      <c r="D949" t="str">
        <f>IF(GapData[[#This Row],[income]] &lt; 0.3, "Low Income", IF(GapData[[#This Row],[income]] &lt; 0.7, "Mid Income", "High Income"))</f>
        <v>High Income</v>
      </c>
    </row>
    <row r="950" spans="1:4">
      <c r="A950" s="3">
        <v>0.7</v>
      </c>
      <c r="B950">
        <v>1</v>
      </c>
      <c r="C950">
        <v>190</v>
      </c>
      <c r="D950" t="str">
        <f>IF(GapData[[#This Row],[income]] &lt; 0.3, "Low Income", IF(GapData[[#This Row],[income]] &lt; 0.7, "Mid Income", "High Income"))</f>
        <v>High Income</v>
      </c>
    </row>
    <row r="951" spans="1:4">
      <c r="A951" s="3">
        <v>0.9</v>
      </c>
      <c r="B951">
        <v>1</v>
      </c>
      <c r="C951">
        <v>202</v>
      </c>
      <c r="D951" t="str">
        <f>IF(GapData[[#This Row],[income]] &lt; 0.3, "Low Income", IF(GapData[[#This Row],[income]] &lt; 0.7, "Mid Income", "High Income"))</f>
        <v>High Income</v>
      </c>
    </row>
    <row r="952" spans="1:4">
      <c r="A952" s="3">
        <v>0.9</v>
      </c>
      <c r="B952">
        <v>1</v>
      </c>
      <c r="C952">
        <v>16</v>
      </c>
      <c r="D952" t="str">
        <f>IF(GapData[[#This Row],[income]] &lt; 0.3, "Low Income", IF(GapData[[#This Row],[income]] &lt; 0.7, "Mid Income", "High Income"))</f>
        <v>High Income</v>
      </c>
    </row>
    <row r="953" spans="1:4">
      <c r="A953" s="3">
        <v>0.8</v>
      </c>
      <c r="B953">
        <v>1</v>
      </c>
      <c r="C953">
        <v>291</v>
      </c>
      <c r="D953" t="str">
        <f>IF(GapData[[#This Row],[income]] &lt; 0.3, "Low Income", IF(GapData[[#This Row],[income]] &lt; 0.7, "Mid Income", "High Income"))</f>
        <v>High Income</v>
      </c>
    </row>
    <row r="954" spans="1:4">
      <c r="A954" s="3">
        <v>0.9</v>
      </c>
      <c r="B954">
        <v>1</v>
      </c>
      <c r="C954">
        <v>179</v>
      </c>
      <c r="D954" t="str">
        <f>IF(GapData[[#This Row],[income]] &lt; 0.3, "Low Income", IF(GapData[[#This Row],[income]] &lt; 0.7, "Mid Income", "High Income"))</f>
        <v>High Income</v>
      </c>
    </row>
    <row r="955" spans="1:4">
      <c r="A955" s="3">
        <v>0.7</v>
      </c>
      <c r="B955">
        <v>1</v>
      </c>
      <c r="C955">
        <v>133</v>
      </c>
      <c r="D955" t="str">
        <f>IF(GapData[[#This Row],[income]] &lt; 0.3, "Low Income", IF(GapData[[#This Row],[income]] &lt; 0.7, "Mid Income", "High Income"))</f>
        <v>High Income</v>
      </c>
    </row>
    <row r="956" spans="1:4">
      <c r="A956" s="3">
        <v>0.9</v>
      </c>
      <c r="B956">
        <v>1</v>
      </c>
      <c r="C956">
        <v>261</v>
      </c>
      <c r="D956" t="str">
        <f>IF(GapData[[#This Row],[income]] &lt; 0.3, "Low Income", IF(GapData[[#This Row],[income]] &lt; 0.7, "Mid Income", "High Income"))</f>
        <v>High Income</v>
      </c>
    </row>
    <row r="957" spans="1:4">
      <c r="A957" s="3">
        <v>0.1</v>
      </c>
      <c r="B957">
        <v>1</v>
      </c>
      <c r="C957">
        <v>55</v>
      </c>
      <c r="D957" t="str">
        <f>IF(GapData[[#This Row],[income]] &lt; 0.3, "Low Income", IF(GapData[[#This Row],[income]] &lt; 0.7, "Mid Income", "High Income"))</f>
        <v>Low Income</v>
      </c>
    </row>
    <row r="958" spans="1:4">
      <c r="A958" s="3">
        <v>0.7</v>
      </c>
      <c r="B958">
        <v>1</v>
      </c>
      <c r="C958">
        <v>68</v>
      </c>
      <c r="D958" t="str">
        <f>IF(GapData[[#This Row],[income]] &lt; 0.3, "Low Income", IF(GapData[[#This Row],[income]] &lt; 0.7, "Mid Income", "High Income"))</f>
        <v>High Income</v>
      </c>
    </row>
    <row r="959" spans="1:4">
      <c r="A959" s="3">
        <v>0.9</v>
      </c>
      <c r="B959">
        <v>1</v>
      </c>
      <c r="C959">
        <v>201</v>
      </c>
      <c r="D959" t="str">
        <f>IF(GapData[[#This Row],[income]] &lt; 0.3, "Low Income", IF(GapData[[#This Row],[income]] &lt; 0.7, "Mid Income", "High Income"))</f>
        <v>High Income</v>
      </c>
    </row>
    <row r="960" spans="1:4">
      <c r="A960" s="3">
        <v>0.8</v>
      </c>
      <c r="B960">
        <v>1</v>
      </c>
      <c r="C960">
        <v>297</v>
      </c>
      <c r="D960" t="str">
        <f>IF(GapData[[#This Row],[income]] &lt; 0.3, "Low Income", IF(GapData[[#This Row],[income]] &lt; 0.7, "Mid Income", "High Income"))</f>
        <v>High Income</v>
      </c>
    </row>
    <row r="961" spans="1:4">
      <c r="A961" s="3">
        <v>0.9</v>
      </c>
      <c r="B961">
        <v>1</v>
      </c>
      <c r="C961">
        <v>207</v>
      </c>
      <c r="D961" t="str">
        <f>IF(GapData[[#This Row],[income]] &lt; 0.3, "Low Income", IF(GapData[[#This Row],[income]] &lt; 0.7, "Mid Income", "High Income"))</f>
        <v>High Income</v>
      </c>
    </row>
    <row r="962" spans="1:4">
      <c r="A962" s="3">
        <v>0.6</v>
      </c>
      <c r="B962">
        <v>1</v>
      </c>
      <c r="C962">
        <v>254</v>
      </c>
      <c r="D962" t="str">
        <f>IF(GapData[[#This Row],[income]] &lt; 0.3, "Low Income", IF(GapData[[#This Row],[income]] &lt; 0.7, "Mid Income", "High Income"))</f>
        <v>Mid Income</v>
      </c>
    </row>
    <row r="963" spans="1:4">
      <c r="A963" s="3">
        <v>0.2</v>
      </c>
      <c r="B963">
        <v>1</v>
      </c>
      <c r="C963">
        <v>192</v>
      </c>
      <c r="D963" t="str">
        <f>IF(GapData[[#This Row],[income]] &lt; 0.3, "Low Income", IF(GapData[[#This Row],[income]] &lt; 0.7, "Mid Income", "High Income"))</f>
        <v>Low Income</v>
      </c>
    </row>
    <row r="964" spans="1:4">
      <c r="A964" s="3">
        <v>0.2</v>
      </c>
      <c r="B964">
        <v>1</v>
      </c>
      <c r="C964">
        <v>71</v>
      </c>
      <c r="D964" t="str">
        <f>IF(GapData[[#This Row],[income]] &lt; 0.3, "Low Income", IF(GapData[[#This Row],[income]] &lt; 0.7, "Mid Income", "High Income"))</f>
        <v>Low Income</v>
      </c>
    </row>
    <row r="965" spans="1:4">
      <c r="A965" s="3">
        <v>0.6</v>
      </c>
      <c r="B965">
        <v>1</v>
      </c>
      <c r="C965">
        <v>103</v>
      </c>
      <c r="D965" t="str">
        <f>IF(GapData[[#This Row],[income]] &lt; 0.3, "Low Income", IF(GapData[[#This Row],[income]] &lt; 0.7, "Mid Income", "High Income"))</f>
        <v>Mid Income</v>
      </c>
    </row>
    <row r="966" spans="1:4">
      <c r="A966" s="3">
        <v>0.1</v>
      </c>
      <c r="B966">
        <v>1</v>
      </c>
      <c r="C966">
        <v>90</v>
      </c>
      <c r="D966" t="str">
        <f>IF(GapData[[#This Row],[income]] &lt; 0.3, "Low Income", IF(GapData[[#This Row],[income]] &lt; 0.7, "Mid Income", "High Income"))</f>
        <v>Low Income</v>
      </c>
    </row>
    <row r="967" spans="1:4">
      <c r="A967" s="3">
        <v>0.7</v>
      </c>
      <c r="B967">
        <v>1</v>
      </c>
      <c r="C967">
        <v>216</v>
      </c>
      <c r="D967" t="str">
        <f>IF(GapData[[#This Row],[income]] &lt; 0.3, "Low Income", IF(GapData[[#This Row],[income]] &lt; 0.7, "Mid Income", "High Income"))</f>
        <v>High Income</v>
      </c>
    </row>
    <row r="968" spans="1:4">
      <c r="A968" s="3">
        <v>0.6</v>
      </c>
      <c r="B968">
        <v>1</v>
      </c>
      <c r="C968">
        <v>93</v>
      </c>
      <c r="D968" t="str">
        <f>IF(GapData[[#This Row],[income]] &lt; 0.3, "Low Income", IF(GapData[[#This Row],[income]] &lt; 0.7, "Mid Income", "High Income"))</f>
        <v>Mid Income</v>
      </c>
    </row>
    <row r="969" spans="1:4">
      <c r="A969" s="3">
        <v>0.9</v>
      </c>
      <c r="B969">
        <v>1</v>
      </c>
      <c r="C969">
        <v>65</v>
      </c>
      <c r="D969" t="str">
        <f>IF(GapData[[#This Row],[income]] &lt; 0.3, "Low Income", IF(GapData[[#This Row],[income]] &lt; 0.7, "Mid Income", "High Income"))</f>
        <v>High Income</v>
      </c>
    </row>
    <row r="970" spans="1:4">
      <c r="A970" s="3">
        <v>0.9</v>
      </c>
      <c r="B970">
        <v>1</v>
      </c>
      <c r="C970">
        <v>265</v>
      </c>
      <c r="D970" t="str">
        <f>IF(GapData[[#This Row],[income]] &lt; 0.3, "Low Income", IF(GapData[[#This Row],[income]] &lt; 0.7, "Mid Income", "High Income"))</f>
        <v>High Income</v>
      </c>
    </row>
    <row r="971" spans="1:4">
      <c r="A971" s="3">
        <v>0.1</v>
      </c>
      <c r="B971">
        <v>1</v>
      </c>
      <c r="C971">
        <v>49</v>
      </c>
      <c r="D971" t="str">
        <f>IF(GapData[[#This Row],[income]] &lt; 0.3, "Low Income", IF(GapData[[#This Row],[income]] &lt; 0.7, "Mid Income", "High Income"))</f>
        <v>Low Income</v>
      </c>
    </row>
    <row r="972" spans="1:4">
      <c r="A972" s="3">
        <v>0.9</v>
      </c>
      <c r="B972">
        <v>1</v>
      </c>
      <c r="C972">
        <v>119</v>
      </c>
      <c r="D972" t="str">
        <f>IF(GapData[[#This Row],[income]] &lt; 0.3, "Low Income", IF(GapData[[#This Row],[income]] &lt; 0.7, "Mid Income", "High Income"))</f>
        <v>High Income</v>
      </c>
    </row>
    <row r="973" spans="1:4">
      <c r="A973" s="3">
        <v>0.5</v>
      </c>
      <c r="B973">
        <v>1</v>
      </c>
      <c r="C973">
        <v>125</v>
      </c>
      <c r="D973" t="str">
        <f>IF(GapData[[#This Row],[income]] &lt; 0.3, "Low Income", IF(GapData[[#This Row],[income]] &lt; 0.7, "Mid Income", "High Income"))</f>
        <v>Mid Income</v>
      </c>
    </row>
    <row r="974" spans="1:4">
      <c r="A974" s="3">
        <v>0.8</v>
      </c>
      <c r="B974">
        <v>1</v>
      </c>
      <c r="C974">
        <v>108</v>
      </c>
      <c r="D974" t="str">
        <f>IF(GapData[[#This Row],[income]] &lt; 0.3, "Low Income", IF(GapData[[#This Row],[income]] &lt; 0.7, "Mid Income", "High Income"))</f>
        <v>High Income</v>
      </c>
    </row>
    <row r="975" spans="1:4">
      <c r="A975" s="3">
        <v>0.6</v>
      </c>
      <c r="B975">
        <v>1</v>
      </c>
      <c r="C975">
        <v>289</v>
      </c>
      <c r="D975" t="str">
        <f>IF(GapData[[#This Row],[income]] &lt; 0.3, "Low Income", IF(GapData[[#This Row],[income]] &lt; 0.7, "Mid Income", "High Income"))</f>
        <v>Mid Income</v>
      </c>
    </row>
    <row r="976" spans="1:4">
      <c r="A976" s="3">
        <v>0.9</v>
      </c>
      <c r="B976">
        <v>1</v>
      </c>
      <c r="C976">
        <v>151</v>
      </c>
      <c r="D976" t="str">
        <f>IF(GapData[[#This Row],[income]] &lt; 0.3, "Low Income", IF(GapData[[#This Row],[income]] &lt; 0.7, "Mid Income", "High Income"))</f>
        <v>High Income</v>
      </c>
    </row>
    <row r="977" spans="1:4">
      <c r="A977" s="3">
        <v>0.9</v>
      </c>
      <c r="B977">
        <v>1</v>
      </c>
      <c r="C977">
        <v>64</v>
      </c>
      <c r="D977" t="str">
        <f>IF(GapData[[#This Row],[income]] &lt; 0.3, "Low Income", IF(GapData[[#This Row],[income]] &lt; 0.7, "Mid Income", "High Income"))</f>
        <v>High Income</v>
      </c>
    </row>
    <row r="978" spans="1:4">
      <c r="A978" s="3">
        <v>0.9</v>
      </c>
      <c r="B978">
        <v>1</v>
      </c>
      <c r="C978">
        <v>104</v>
      </c>
      <c r="D978" t="str">
        <f>IF(GapData[[#This Row],[income]] &lt; 0.3, "Low Income", IF(GapData[[#This Row],[income]] &lt; 0.7, "Mid Income", "High Income"))</f>
        <v>High Income</v>
      </c>
    </row>
    <row r="979" spans="1:4">
      <c r="A979" s="3">
        <v>0.9</v>
      </c>
      <c r="B979">
        <v>1</v>
      </c>
      <c r="C979">
        <v>101</v>
      </c>
      <c r="D979" t="str">
        <f>IF(GapData[[#This Row],[income]] &lt; 0.3, "Low Income", IF(GapData[[#This Row],[income]] &lt; 0.7, "Mid Income", "High Income"))</f>
        <v>High Income</v>
      </c>
    </row>
    <row r="980" spans="1:4">
      <c r="A980" s="3">
        <v>0.6</v>
      </c>
      <c r="B980">
        <v>1</v>
      </c>
      <c r="C980">
        <v>49</v>
      </c>
      <c r="D980" t="str">
        <f>IF(GapData[[#This Row],[income]] &lt; 0.3, "Low Income", IF(GapData[[#This Row],[income]] &lt; 0.7, "Mid Income", "High Income"))</f>
        <v>Mid Income</v>
      </c>
    </row>
    <row r="981" spans="1:4">
      <c r="A981" s="3">
        <v>0.9</v>
      </c>
      <c r="B981">
        <v>1</v>
      </c>
      <c r="C981">
        <v>130</v>
      </c>
      <c r="D981" t="str">
        <f>IF(GapData[[#This Row],[income]] &lt; 0.3, "Low Income", IF(GapData[[#This Row],[income]] &lt; 0.7, "Mid Income", "High Income"))</f>
        <v>High Income</v>
      </c>
    </row>
    <row r="982" spans="1:4">
      <c r="A982" s="3">
        <v>0.9</v>
      </c>
      <c r="B982">
        <v>1</v>
      </c>
      <c r="C982">
        <v>219</v>
      </c>
      <c r="D982" t="str">
        <f>IF(GapData[[#This Row],[income]] &lt; 0.3, "Low Income", IF(GapData[[#This Row],[income]] &lt; 0.7, "Mid Income", "High Income"))</f>
        <v>High Income</v>
      </c>
    </row>
    <row r="983" spans="1:4">
      <c r="A983" s="3">
        <v>0.7</v>
      </c>
      <c r="B983">
        <v>1</v>
      </c>
      <c r="C983">
        <v>108</v>
      </c>
      <c r="D983" t="str">
        <f>IF(GapData[[#This Row],[income]] &lt; 0.3, "Low Income", IF(GapData[[#This Row],[income]] &lt; 0.7, "Mid Income", "High Income"))</f>
        <v>High Income</v>
      </c>
    </row>
    <row r="984" spans="1:4">
      <c r="A984" s="3">
        <v>0.6</v>
      </c>
      <c r="B984">
        <v>1</v>
      </c>
      <c r="C984">
        <v>161</v>
      </c>
      <c r="D984" t="str">
        <f>IF(GapData[[#This Row],[income]] &lt; 0.3, "Low Income", IF(GapData[[#This Row],[income]] &lt; 0.7, "Mid Income", "High Income"))</f>
        <v>Mid Income</v>
      </c>
    </row>
    <row r="985" spans="1:4">
      <c r="A985" s="3">
        <v>0.6</v>
      </c>
      <c r="B985">
        <v>1</v>
      </c>
      <c r="C985">
        <v>25</v>
      </c>
      <c r="D985" t="str">
        <f>IF(GapData[[#This Row],[income]] &lt; 0.3, "Low Income", IF(GapData[[#This Row],[income]] &lt; 0.7, "Mid Income", "High Income"))</f>
        <v>Mid Income</v>
      </c>
    </row>
    <row r="986" spans="1:4">
      <c r="A986" s="3">
        <v>0.7</v>
      </c>
      <c r="B986">
        <v>1</v>
      </c>
      <c r="C986">
        <v>288</v>
      </c>
      <c r="D986" t="str">
        <f>IF(GapData[[#This Row],[income]] &lt; 0.3, "Low Income", IF(GapData[[#This Row],[income]] &lt; 0.7, "Mid Income", "High Income"))</f>
        <v>High Income</v>
      </c>
    </row>
    <row r="987" spans="1:4">
      <c r="A987" s="3">
        <v>0.9</v>
      </c>
      <c r="B987">
        <v>1</v>
      </c>
      <c r="C987">
        <v>247</v>
      </c>
      <c r="D987" t="str">
        <f>IF(GapData[[#This Row],[income]] &lt; 0.3, "Low Income", IF(GapData[[#This Row],[income]] &lt; 0.7, "Mid Income", "High Income"))</f>
        <v>High Income</v>
      </c>
    </row>
    <row r="988" spans="1:4">
      <c r="A988" s="3">
        <v>0.1</v>
      </c>
      <c r="B988">
        <v>1</v>
      </c>
      <c r="C988">
        <v>209</v>
      </c>
      <c r="D988" t="str">
        <f>IF(GapData[[#This Row],[income]] &lt; 0.3, "Low Income", IF(GapData[[#This Row],[income]] &lt; 0.7, "Mid Income", "High Income"))</f>
        <v>Low Income</v>
      </c>
    </row>
    <row r="989" spans="1:4">
      <c r="A989" s="3">
        <v>0.6</v>
      </c>
      <c r="B989">
        <v>1</v>
      </c>
      <c r="C989">
        <v>194</v>
      </c>
      <c r="D989" t="str">
        <f>IF(GapData[[#This Row],[income]] &lt; 0.3, "Low Income", IF(GapData[[#This Row],[income]] &lt; 0.7, "Mid Income", "High Income"))</f>
        <v>Mid Income</v>
      </c>
    </row>
    <row r="990" spans="1:4">
      <c r="A990" s="3">
        <v>0.6</v>
      </c>
      <c r="B990">
        <v>1</v>
      </c>
      <c r="C990">
        <v>108</v>
      </c>
      <c r="D990" t="str">
        <f>IF(GapData[[#This Row],[income]] &lt; 0.3, "Low Income", IF(GapData[[#This Row],[income]] &lt; 0.7, "Mid Income", "High Income"))</f>
        <v>Mid Income</v>
      </c>
    </row>
    <row r="991" spans="1:4">
      <c r="A991" s="3">
        <v>0.6</v>
      </c>
      <c r="B991">
        <v>1</v>
      </c>
      <c r="C991">
        <v>146</v>
      </c>
      <c r="D991" t="str">
        <f>IF(GapData[[#This Row],[income]] &lt; 0.3, "Low Income", IF(GapData[[#This Row],[income]] &lt; 0.7, "Mid Income", "High Income"))</f>
        <v>Mid Income</v>
      </c>
    </row>
    <row r="992" spans="1:4">
      <c r="A992" s="3">
        <v>0.9</v>
      </c>
      <c r="B992">
        <v>1</v>
      </c>
      <c r="C992">
        <v>278</v>
      </c>
      <c r="D992" t="str">
        <f>IF(GapData[[#This Row],[income]] &lt; 0.3, "Low Income", IF(GapData[[#This Row],[income]] &lt; 0.7, "Mid Income", "High Income"))</f>
        <v>High Income</v>
      </c>
    </row>
    <row r="993" spans="1:4">
      <c r="A993" s="3">
        <v>0.4</v>
      </c>
      <c r="B993">
        <v>1</v>
      </c>
      <c r="C993">
        <v>75</v>
      </c>
      <c r="D993" t="str">
        <f>IF(GapData[[#This Row],[income]] &lt; 0.3, "Low Income", IF(GapData[[#This Row],[income]] &lt; 0.7, "Mid Income", "High Income"))</f>
        <v>Mid Income</v>
      </c>
    </row>
    <row r="994" spans="1:4">
      <c r="A994" s="3">
        <v>0.1</v>
      </c>
      <c r="B994">
        <v>1</v>
      </c>
      <c r="C994">
        <v>88</v>
      </c>
      <c r="D994" t="str">
        <f>IF(GapData[[#This Row],[income]] &lt; 0.3, "Low Income", IF(GapData[[#This Row],[income]] &lt; 0.7, "Mid Income", "High Income"))</f>
        <v>Low Income</v>
      </c>
    </row>
    <row r="995" spans="1:4">
      <c r="A995" s="3">
        <v>0.9</v>
      </c>
      <c r="B995">
        <v>1</v>
      </c>
      <c r="C995">
        <v>19</v>
      </c>
      <c r="D995" t="str">
        <f>IF(GapData[[#This Row],[income]] &lt; 0.3, "Low Income", IF(GapData[[#This Row],[income]] &lt; 0.7, "Mid Income", "High Income"))</f>
        <v>High Income</v>
      </c>
    </row>
    <row r="996" spans="1:4">
      <c r="A996" s="3">
        <v>0.8</v>
      </c>
      <c r="B996">
        <v>1</v>
      </c>
      <c r="C996">
        <v>133</v>
      </c>
      <c r="D996" t="str">
        <f>IF(GapData[[#This Row],[income]] &lt; 0.3, "Low Income", IF(GapData[[#This Row],[income]] &lt; 0.7, "Mid Income", "High Income"))</f>
        <v>High Income</v>
      </c>
    </row>
    <row r="997" spans="1:4">
      <c r="A997" s="3">
        <v>0.9</v>
      </c>
      <c r="B997">
        <v>1</v>
      </c>
      <c r="C997">
        <v>165</v>
      </c>
      <c r="D997" t="str">
        <f>IF(GapData[[#This Row],[income]] &lt; 0.3, "Low Income", IF(GapData[[#This Row],[income]] &lt; 0.7, "Mid Income", "High Income"))</f>
        <v>High Income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288E-7878-49A6-B690-AE53C713DF72}">
  <dimension ref="A1:B4"/>
  <sheetViews>
    <sheetView tabSelected="1" workbookViewId="0">
      <selection sqref="A1:B4"/>
    </sheetView>
  </sheetViews>
  <sheetFormatPr defaultRowHeight="15"/>
  <cols>
    <col min="1" max="1" width="17.5703125" bestFit="1" customWidth="1"/>
    <col min="2" max="2" width="23.28515625" bestFit="1" customWidth="1"/>
  </cols>
  <sheetData>
    <row r="1" spans="1:2">
      <c r="A1" t="s">
        <v>4</v>
      </c>
      <c r="B1" t="s">
        <v>5</v>
      </c>
    </row>
    <row r="2" spans="1:2">
      <c r="A2" t="s">
        <v>6</v>
      </c>
      <c r="B2">
        <v>7.6E-3</v>
      </c>
    </row>
    <row r="3" spans="1:2">
      <c r="A3" t="s">
        <v>7</v>
      </c>
      <c r="B3">
        <v>5.7999999999999996E-3</v>
      </c>
    </row>
    <row r="4" spans="1:2">
      <c r="A4" t="s">
        <v>8</v>
      </c>
      <c r="B4">
        <v>1.55E-2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8214-D169-4594-865A-A790EB5C92BA}">
  <dimension ref="A1:M37"/>
  <sheetViews>
    <sheetView workbookViewId="0">
      <selection activeCell="F14" sqref="F14"/>
    </sheetView>
  </sheetViews>
  <sheetFormatPr defaultRowHeight="15"/>
  <cols>
    <col min="1" max="1" width="24.140625" customWidth="1"/>
    <col min="2" max="5" width="34.7109375" customWidth="1"/>
    <col min="6" max="6" width="34.7109375" bestFit="1" customWidth="1"/>
    <col min="10" max="10" width="15.5703125" bestFit="1" customWidth="1"/>
    <col min="11" max="11" width="25.7109375" customWidth="1"/>
    <col min="12" max="12" width="20.42578125" bestFit="1" customWidth="1"/>
    <col min="13" max="13" width="22.28515625" bestFit="1" customWidth="1"/>
  </cols>
  <sheetData>
    <row r="1" spans="1:13">
      <c r="A1" t="str">
        <f ca="1" xml:space="preserve"> "Report Last Refreshed: " &amp; TEXT(NOW(), "MMMM DD, YYYY HH:MM AM/PM")</f>
        <v>Report Last Refreshed: March 20, 2026 02:54 PM</v>
      </c>
    </row>
    <row r="3" spans="1:13">
      <c r="C3" s="21" t="s">
        <v>9</v>
      </c>
      <c r="D3" s="21"/>
      <c r="E3" s="21"/>
    </row>
    <row r="4" spans="1:13" ht="17.25" customHeight="1">
      <c r="C4" s="18"/>
      <c r="D4" s="18"/>
    </row>
    <row r="5" spans="1:13">
      <c r="B5" s="17" t="s">
        <v>10</v>
      </c>
    </row>
    <row r="6" spans="1:13" s="5" customFormat="1">
      <c r="B6" s="10" t="s">
        <v>11</v>
      </c>
      <c r="C6" s="10" t="s">
        <v>12</v>
      </c>
      <c r="D6" s="10" t="s">
        <v>13</v>
      </c>
      <c r="E6" s="10" t="s">
        <v>14</v>
      </c>
    </row>
    <row r="7" spans="1:13">
      <c r="B7" s="9">
        <v>1195200</v>
      </c>
      <c r="C7" t="s">
        <v>15</v>
      </c>
      <c r="D7" s="9" t="str">
        <f>TEXT(F31, "$#,##0") &amp; " (" &amp; D31 &amp; " Hours Saved)"</f>
        <v>$11,205 (249 Hours Saved)</v>
      </c>
      <c r="E7" t="s">
        <v>16</v>
      </c>
    </row>
    <row r="8" spans="1:13">
      <c r="C8" s="6"/>
    </row>
    <row r="11" spans="1:13">
      <c r="B11" s="7" t="s">
        <v>17</v>
      </c>
    </row>
    <row r="12" spans="1:13">
      <c r="B12" s="11" t="s">
        <v>3</v>
      </c>
      <c r="C12" s="11" t="s">
        <v>18</v>
      </c>
      <c r="D12" s="11" t="s">
        <v>19</v>
      </c>
    </row>
    <row r="13" spans="1:13">
      <c r="B13" t="s">
        <v>8</v>
      </c>
      <c r="C13" s="2">
        <v>650</v>
      </c>
      <c r="D13" s="4">
        <v>0.65261044176706828</v>
      </c>
    </row>
    <row r="14" spans="1:13">
      <c r="B14" t="s">
        <v>7</v>
      </c>
      <c r="C14" s="2">
        <v>119</v>
      </c>
      <c r="D14" s="4">
        <v>0.11947791164658635</v>
      </c>
    </row>
    <row r="15" spans="1:13" ht="13.5" customHeight="1">
      <c r="B15" t="s">
        <v>6</v>
      </c>
      <c r="C15" s="2">
        <v>227</v>
      </c>
      <c r="D15" s="4">
        <v>0.22791164658634538</v>
      </c>
      <c r="K15" s="20"/>
    </row>
    <row r="16" spans="1:13">
      <c r="B16" s="13" t="s">
        <v>20</v>
      </c>
      <c r="C16" s="14">
        <v>996</v>
      </c>
      <c r="D16" s="15">
        <v>1</v>
      </c>
      <c r="M16" s="1"/>
    </row>
    <row r="20" spans="2:6">
      <c r="B20" s="7" t="s">
        <v>21</v>
      </c>
    </row>
    <row r="21" spans="2:6">
      <c r="B21" s="12" t="s">
        <v>3</v>
      </c>
      <c r="C21" s="12" t="s">
        <v>22</v>
      </c>
      <c r="D21" s="12" t="s">
        <v>23</v>
      </c>
      <c r="E21" s="12" t="s">
        <v>24</v>
      </c>
    </row>
    <row r="22" spans="2:6">
      <c r="B22" t="s">
        <v>25</v>
      </c>
      <c r="C22">
        <f>IFERROR(GETPIVOTDATA("Count of fraud_bool", $B$12, "Income Bracket", "High Income"), 0)</f>
        <v>650</v>
      </c>
      <c r="D22">
        <f>C22*1500</f>
        <v>975000</v>
      </c>
      <c r="E22">
        <f>D22*0.8</f>
        <v>780000</v>
      </c>
    </row>
    <row r="23" spans="2:6">
      <c r="B23" t="s">
        <v>26</v>
      </c>
      <c r="C23">
        <f>IFERROR(GETPIVOTDATA("Count of fraud_bool", $B$12, "Income Bracket", "Mid Income"), 0)</f>
        <v>227</v>
      </c>
      <c r="D23">
        <f t="shared" ref="D23:D24" si="0">C23*1500</f>
        <v>340500</v>
      </c>
      <c r="E23">
        <f t="shared" ref="E23:E24" si="1">D23*0.8</f>
        <v>272400</v>
      </c>
    </row>
    <row r="24" spans="2:6">
      <c r="B24" t="s">
        <v>27</v>
      </c>
      <c r="C24">
        <f>IFERROR(GETPIVOTDATA("Count of fraud_bool", $B$12, "Income Bracket", "Low Income"), 0)</f>
        <v>119</v>
      </c>
      <c r="D24">
        <f t="shared" si="0"/>
        <v>178500</v>
      </c>
      <c r="E24">
        <f t="shared" si="1"/>
        <v>142800</v>
      </c>
    </row>
    <row r="25" spans="2:6">
      <c r="B25" s="16" t="s">
        <v>20</v>
      </c>
      <c r="C25" s="16">
        <f>GETPIVOTDATA("Count of fraud_bool", $B$12)</f>
        <v>996</v>
      </c>
      <c r="D25" s="16">
        <f>SUM(D22:D24)</f>
        <v>1494000</v>
      </c>
      <c r="E25" s="16">
        <f>SUM(E22:E24)</f>
        <v>1195200</v>
      </c>
    </row>
    <row r="29" spans="2:6">
      <c r="B29" s="8" t="s">
        <v>28</v>
      </c>
    </row>
    <row r="30" spans="2:6">
      <c r="B30" s="12" t="s">
        <v>29</v>
      </c>
      <c r="C30" s="12" t="s">
        <v>30</v>
      </c>
      <c r="D30" s="12" t="s">
        <v>31</v>
      </c>
      <c r="E30" s="12" t="s">
        <v>32</v>
      </c>
      <c r="F30" s="12" t="s">
        <v>33</v>
      </c>
    </row>
    <row r="31" spans="2:6">
      <c r="B31">
        <f>IFERROR(GETPIVOTDATA("Count of fraud_bool", $B$12), 0)</f>
        <v>996</v>
      </c>
      <c r="C31">
        <v>15</v>
      </c>
      <c r="D31">
        <f>B31*C31/60</f>
        <v>249</v>
      </c>
      <c r="E31" s="9">
        <v>45</v>
      </c>
      <c r="F31" s="9">
        <f>D31*E31</f>
        <v>11205</v>
      </c>
    </row>
    <row r="35" spans="2:5">
      <c r="B35" s="7" t="s">
        <v>34</v>
      </c>
    </row>
    <row r="36" spans="2:5">
      <c r="B36" s="22" t="s">
        <v>35</v>
      </c>
      <c r="C36" s="22"/>
      <c r="D36" s="22"/>
      <c r="E36" s="19"/>
    </row>
    <row r="37" spans="2:5">
      <c r="B37" s="23" t="s">
        <v>36</v>
      </c>
      <c r="C37" s="23"/>
      <c r="D37" s="23"/>
      <c r="E37" t="s">
        <v>37</v>
      </c>
    </row>
  </sheetData>
  <mergeCells count="3">
    <mergeCell ref="C3:E3"/>
    <mergeCell ref="B36:D36"/>
    <mergeCell ref="B37:D37"/>
  </mergeCells>
  <conditionalFormatting sqref="E22:E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{C81CD57E-3ADF-4231-9632-CD43305FDC11}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1CD57E-3ADF-4231-9632-CD43305FD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E22:E24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2026-02-18T20:28:32Z</dcterms:created>
  <dcterms:modified xsi:type="dcterms:W3CDTF">2026-03-20T19:56:54Z</dcterms:modified>
  <cp:category/>
  <cp:contentStatus/>
</cp:coreProperties>
</file>